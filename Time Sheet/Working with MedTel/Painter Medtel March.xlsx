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Saudi Ic\Time Sheet\Working with MedTel\"/>
    </mc:Choice>
  </mc:AlternateContent>
  <xr:revisionPtr revIDLastSave="0" documentId="13_ncr:1_{C61FBC56-72C6-47C5-AAEA-1E17A61B86C6}" xr6:coauthVersionLast="47" xr6:coauthVersionMax="47" xr10:uidLastSave="{00000000-0000-0000-0000-000000000000}"/>
  <bookViews>
    <workbookView xWindow="28680" yWindow="-120" windowWidth="29040" windowHeight="15720" xr2:uid="{68F6CA0B-7E25-46CE-B597-71AE5470C2CC}"/>
  </bookViews>
  <sheets>
    <sheet name="March" sheetId="1" r:id="rId1"/>
  </sheets>
  <definedNames>
    <definedName name="_xlnm._FilterDatabase" localSheetId="0" hidden="1">March!$J$2:$J$29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8" i="1" l="1"/>
  <c r="AF28" i="1" s="1"/>
  <c r="AD34" i="1"/>
  <c r="AF34" i="1" s="1"/>
  <c r="AF19" i="1"/>
  <c r="AD7" i="1"/>
  <c r="AF7" i="1" s="1"/>
  <c r="AD30" i="1"/>
  <c r="AF30" i="1" s="1"/>
  <c r="AD31" i="1"/>
  <c r="AF31" i="1" s="1"/>
  <c r="AD32" i="1"/>
  <c r="AF32" i="1" s="1"/>
  <c r="AD33" i="1"/>
  <c r="AF33" i="1" s="1"/>
  <c r="AD8" i="1"/>
  <c r="AF8" i="1" s="1"/>
  <c r="AD9" i="1"/>
  <c r="AF9" i="1" s="1"/>
  <c r="AD10" i="1"/>
  <c r="AF10" i="1" s="1"/>
  <c r="AD11" i="1"/>
  <c r="AF11" i="1" s="1"/>
  <c r="AD12" i="1"/>
  <c r="AF12" i="1" s="1"/>
  <c r="AD13" i="1"/>
  <c r="AF13" i="1" s="1"/>
  <c r="AD14" i="1"/>
  <c r="AF14" i="1" s="1"/>
  <c r="AD15" i="1"/>
  <c r="AF15" i="1" s="1"/>
  <c r="AD16" i="1"/>
  <c r="AF16" i="1" s="1"/>
  <c r="AD17" i="1"/>
  <c r="AF17" i="1" s="1"/>
  <c r="AD18" i="1"/>
  <c r="AF18" i="1" s="1"/>
  <c r="AD19" i="1"/>
  <c r="AD20" i="1"/>
  <c r="AF20" i="1" s="1"/>
  <c r="AD21" i="1"/>
  <c r="AF21" i="1" s="1"/>
  <c r="AD22" i="1"/>
  <c r="AF22" i="1" s="1"/>
  <c r="AD23" i="1"/>
  <c r="AF23" i="1" s="1"/>
  <c r="AD24" i="1"/>
  <c r="AF24" i="1" s="1"/>
  <c r="AD25" i="1"/>
  <c r="AF25" i="1" s="1"/>
  <c r="AD26" i="1"/>
  <c r="AF26" i="1" s="1"/>
  <c r="AD27" i="1"/>
  <c r="AF27" i="1" s="1"/>
  <c r="AD29" i="1"/>
  <c r="AF29" i="1" s="1"/>
  <c r="AD35" i="1" l="1"/>
  <c r="AF35" i="1"/>
</calcChain>
</file>

<file path=xl/sharedStrings.xml><?xml version="1.0" encoding="utf-8"?>
<sst xmlns="http://schemas.openxmlformats.org/spreadsheetml/2006/main" count="235" uniqueCount="52">
  <si>
    <t>S.No</t>
  </si>
  <si>
    <t>Employee ID</t>
  </si>
  <si>
    <t>Employee Name</t>
  </si>
  <si>
    <t>Designation</t>
  </si>
  <si>
    <t>Total</t>
  </si>
  <si>
    <t>Sun</t>
  </si>
  <si>
    <t>Mon</t>
  </si>
  <si>
    <t>Tue</t>
  </si>
  <si>
    <t>Wed</t>
  </si>
  <si>
    <t>Thu</t>
  </si>
  <si>
    <t>Fri</t>
  </si>
  <si>
    <t>Sat</t>
  </si>
  <si>
    <t>Hours</t>
  </si>
  <si>
    <t>A</t>
  </si>
  <si>
    <t>Mahmoud Eid Abdelhady Ali</t>
  </si>
  <si>
    <t>Supervisor</t>
  </si>
  <si>
    <t>Mohammad Sarfuddin Ansar</t>
  </si>
  <si>
    <t>Painter</t>
  </si>
  <si>
    <t>Farhan Kabir Muhammad</t>
  </si>
  <si>
    <t>Rakesh Sahani</t>
  </si>
  <si>
    <t>Suredra Kumar Yadav</t>
  </si>
  <si>
    <t>Naresh Sha Sudi</t>
  </si>
  <si>
    <t xml:space="preserve">Bharat Sahni </t>
  </si>
  <si>
    <t>Jamshed Alam Nur Alam</t>
  </si>
  <si>
    <t>Rinku Chamar</t>
  </si>
  <si>
    <t>Gyani Mahto</t>
  </si>
  <si>
    <t>Ramu Sardar</t>
  </si>
  <si>
    <t>Jamdar Ansari</t>
  </si>
  <si>
    <t>Abu bakar muhmmad Shafeek</t>
  </si>
  <si>
    <t>MD Maten</t>
  </si>
  <si>
    <t>Joynal Abdeen</t>
  </si>
  <si>
    <t>Krishna Kumar Shah</t>
  </si>
  <si>
    <t>Murad Ali Kaymuddin</t>
  </si>
  <si>
    <t>Anowar Hossain</t>
  </si>
  <si>
    <t>Nand Ram Pasi</t>
  </si>
  <si>
    <t>Rasheed Iqbal</t>
  </si>
  <si>
    <t>Khursheed</t>
  </si>
  <si>
    <t>MANIK HOSSAIN</t>
  </si>
  <si>
    <t>Dev Naryan Mahto</t>
  </si>
  <si>
    <t>HOLIDAY</t>
  </si>
  <si>
    <t>Hilmy Samer</t>
  </si>
  <si>
    <t>Ezzat Thabet Fawzi</t>
  </si>
  <si>
    <t>Ali toba Ali</t>
  </si>
  <si>
    <t>Ala Mohammad</t>
  </si>
  <si>
    <t>Trek Izzat</t>
  </si>
  <si>
    <t>TOTAL</t>
  </si>
  <si>
    <t>Remark:- Transportation and accomodation was provided by saudi icon</t>
  </si>
  <si>
    <t>Approved by Medtel</t>
  </si>
  <si>
    <t>App by RSG</t>
  </si>
  <si>
    <t>Total Amount</t>
  </si>
  <si>
    <t>Per/Hour</t>
  </si>
  <si>
    <t xml:space="preserve">
TIME SHEET Project: FOUR SEASONS RESORT
Month: Mar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</si>
</sst>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d\-mmm;@"/>
    <numFmt numFmtId="165" formatCode="[$SAR]\ #,##0.00"/>
  </numFmts>
  <fonts count="16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26"/>
      <name val="Calibri"/>
      <family val="2"/>
    </font>
    <font>
      <sz val="26"/>
      <color theme="1"/>
      <name val="Calibri"/>
      <family val="2"/>
      <scheme val="minor"/>
    </font>
    <font>
      <b/>
      <sz val="28"/>
      <name val="Arial"/>
      <family val="2"/>
    </font>
    <font>
      <b/>
      <sz val="28"/>
      <name val="Calibri"/>
      <family val="2"/>
    </font>
    <font>
      <b/>
      <sz val="28"/>
      <color theme="1"/>
      <name val="Calibri"/>
      <family val="2"/>
      <scheme val="minor"/>
    </font>
    <font>
      <sz val="28"/>
      <color theme="1"/>
      <name val="Arial"/>
      <family val="2"/>
    </font>
    <font>
      <sz val="28"/>
      <name val="Calibri"/>
      <family val="2"/>
    </font>
    <font>
      <sz val="28"/>
      <color theme="1"/>
      <name val="Calibri"/>
      <family val="2"/>
      <scheme val="minor"/>
    </font>
    <font>
      <b/>
      <sz val="28"/>
      <color theme="1"/>
      <name val="Calibri"/>
      <family val="2"/>
    </font>
    <font>
      <b/>
      <sz val="22"/>
      <color theme="1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theme="0" tint="-0.14999847407452621"/>
        <bgColor rgb="FFD9E1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0" fontId="4" fillId="0" borderId="0"/>
    <xf numFmtId="0" fontId="5" fillId="0" borderId="0"/>
    <xf numFmtId="0" fontId="3" fillId="0" borderId="0"/>
  </cellStyleXfs>
  <cellXfs count="75">
    <xf numFmtId="0" fontId="0" fillId="0" borderId="0" xfId="0"/>
    <xf numFmtId="0" fontId="1" fillId="0" borderId="0" xfId="0" applyFont="1"/>
    <xf numFmtId="0" fontId="7" fillId="0" borderId="0" xfId="0" applyFont="1"/>
    <xf numFmtId="0" fontId="9" fillId="2" borderId="9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2" fillId="0" borderId="26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12" fillId="6" borderId="27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165" fontId="13" fillId="0" borderId="9" xfId="1" applyNumberFormat="1" applyFont="1" applyBorder="1"/>
    <xf numFmtId="165" fontId="13" fillId="0" borderId="9" xfId="0" applyNumberFormat="1" applyFont="1" applyBorder="1"/>
    <xf numFmtId="0" fontId="12" fillId="0" borderId="28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/>
    </xf>
    <xf numFmtId="0" fontId="12" fillId="0" borderId="29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6" borderId="30" xfId="0" applyFont="1" applyFill="1" applyBorder="1" applyAlignment="1">
      <alignment horizontal="center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/>
    </xf>
    <xf numFmtId="0" fontId="12" fillId="0" borderId="17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3" fillId="0" borderId="0" xfId="0" applyFont="1"/>
    <xf numFmtId="0" fontId="10" fillId="0" borderId="9" xfId="0" applyFont="1" applyBorder="1"/>
    <xf numFmtId="0" fontId="13" fillId="0" borderId="9" xfId="0" applyFont="1" applyBorder="1"/>
    <xf numFmtId="164" fontId="9" fillId="2" borderId="9" xfId="0" applyNumberFormat="1" applyFont="1" applyFill="1" applyBorder="1" applyAlignment="1">
      <alignment horizontal="center" vertical="center" textRotation="90"/>
    </xf>
    <xf numFmtId="164" fontId="9" fillId="4" borderId="9" xfId="0" applyNumberFormat="1" applyFont="1" applyFill="1" applyBorder="1" applyAlignment="1">
      <alignment horizontal="center" vertical="center" textRotation="90"/>
    </xf>
    <xf numFmtId="164" fontId="9" fillId="2" borderId="35" xfId="0" applyNumberFormat="1" applyFont="1" applyFill="1" applyBorder="1" applyAlignment="1">
      <alignment horizontal="center" vertical="center" textRotation="90"/>
    </xf>
    <xf numFmtId="0" fontId="9" fillId="3" borderId="9" xfId="0" applyFont="1" applyFill="1" applyBorder="1" applyAlignment="1">
      <alignment horizontal="center" vertical="center" textRotation="90"/>
    </xf>
    <xf numFmtId="0" fontId="9" fillId="5" borderId="9" xfId="0" applyFont="1" applyFill="1" applyBorder="1" applyAlignment="1">
      <alignment horizontal="center" vertical="center" textRotation="90"/>
    </xf>
    <xf numFmtId="0" fontId="9" fillId="3" borderId="35" xfId="0" applyFont="1" applyFill="1" applyBorder="1" applyAlignment="1">
      <alignment horizontal="center" vertical="center" textRotation="90"/>
    </xf>
    <xf numFmtId="0" fontId="9" fillId="0" borderId="37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2" fillId="6" borderId="19" xfId="0" applyFont="1" applyFill="1" applyBorder="1" applyAlignment="1">
      <alignment horizontal="center" vertical="center"/>
    </xf>
    <xf numFmtId="0" fontId="12" fillId="6" borderId="0" xfId="0" applyFont="1" applyFill="1" applyBorder="1" applyAlignment="1">
      <alignment horizontal="center" vertical="center"/>
    </xf>
    <xf numFmtId="0" fontId="12" fillId="6" borderId="20" xfId="0" applyFont="1" applyFill="1" applyBorder="1" applyAlignment="1">
      <alignment horizontal="center" vertical="center"/>
    </xf>
    <xf numFmtId="0" fontId="12" fillId="6" borderId="22" xfId="0" applyFont="1" applyFill="1" applyBorder="1" applyAlignment="1">
      <alignment horizontal="center" vertical="center"/>
    </xf>
    <xf numFmtId="0" fontId="12" fillId="6" borderId="23" xfId="0" applyFont="1" applyFill="1" applyBorder="1" applyAlignment="1">
      <alignment horizontal="center" vertical="center"/>
    </xf>
    <xf numFmtId="0" fontId="12" fillId="6" borderId="24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4" fillId="0" borderId="14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13" xfId="0" applyFont="1" applyFill="1" applyBorder="1" applyAlignment="1">
      <alignment horizontal="center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14" fillId="0" borderId="3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wrapText="1"/>
    </xf>
    <xf numFmtId="0" fontId="15" fillId="0" borderId="2" xfId="0" applyFont="1" applyBorder="1" applyAlignment="1">
      <alignment horizontal="center"/>
    </xf>
    <xf numFmtId="0" fontId="15" fillId="0" borderId="0" xfId="0" applyFont="1" applyBorder="1" applyAlignment="1">
      <alignment horizontal="center" wrapText="1"/>
    </xf>
    <xf numFmtId="0" fontId="15" fillId="0" borderId="0" xfId="0" applyFont="1" applyBorder="1" applyAlignment="1">
      <alignment horizontal="center"/>
    </xf>
    <xf numFmtId="0" fontId="8" fillId="2" borderId="5" xfId="0" applyFont="1" applyFill="1" applyBorder="1" applyAlignment="1">
      <alignment horizontal="center" vertical="center"/>
    </xf>
    <xf numFmtId="0" fontId="11" fillId="0" borderId="7" xfId="0" applyFont="1" applyBorder="1"/>
    <xf numFmtId="0" fontId="8" fillId="2" borderId="6" xfId="0" applyFont="1" applyFill="1" applyBorder="1" applyAlignment="1">
      <alignment horizontal="center" vertical="center"/>
    </xf>
    <xf numFmtId="0" fontId="11" fillId="0" borderId="8" xfId="0" applyFont="1" applyBorder="1"/>
    <xf numFmtId="0" fontId="8" fillId="2" borderId="10" xfId="0" applyFont="1" applyFill="1" applyBorder="1" applyAlignment="1">
      <alignment horizontal="center" vertical="center"/>
    </xf>
    <xf numFmtId="0" fontId="11" fillId="0" borderId="11" xfId="0" applyFont="1" applyBorder="1"/>
  </cellXfs>
  <cellStyles count="5">
    <cellStyle name="Currency" xfId="1" builtinId="4"/>
    <cellStyle name="Normal" xfId="0" builtinId="0"/>
    <cellStyle name="Normal 2" xfId="3" xr:uid="{7FEA4720-1E74-4A31-951C-BCDDE7E0DAF9}"/>
    <cellStyle name="Normal 3" xfId="2" xr:uid="{B1A7BAEE-C976-4E9B-89F5-F6DE4E424618}"/>
    <cellStyle name="Normal 4" xfId="4" xr:uid="{FEF48472-3295-441F-94D8-5912D30BF305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50750</xdr:colOff>
      <xdr:row>1</xdr:row>
      <xdr:rowOff>0</xdr:rowOff>
    </xdr:from>
    <xdr:to>
      <xdr:col>2</xdr:col>
      <xdr:colOff>246150</xdr:colOff>
      <xdr:row>2</xdr:row>
      <xdr:rowOff>361329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27EC3C-F1B9-45E2-984E-B1DA0C9EB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0" y="199360"/>
          <a:ext cx="3350390" cy="7974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303BE-F15B-4B70-A5BC-2BF91EF2D880}">
  <sheetPr>
    <pageSetUpPr fitToPage="1"/>
  </sheetPr>
  <dimension ref="A1:AF43"/>
  <sheetViews>
    <sheetView tabSelected="1" zoomScale="43" zoomScaleNormal="78" workbookViewId="0">
      <pane xSplit="4" ySplit="6" topLeftCell="E7" activePane="bottomRight" state="frozen"/>
      <selection pane="topRight" activeCell="E1" sqref="E1"/>
      <selection pane="bottomLeft" activeCell="A6" sqref="A6"/>
      <selection pane="bottomRight" activeCell="AM8" sqref="AM8"/>
    </sheetView>
  </sheetViews>
  <sheetFormatPr defaultRowHeight="14.4" x14ac:dyDescent="0.3"/>
  <cols>
    <col min="1" max="1" width="13.33203125" bestFit="1" customWidth="1"/>
    <col min="2" max="2" width="32.44140625" bestFit="1" customWidth="1"/>
    <col min="3" max="3" width="62.44140625" bestFit="1" customWidth="1"/>
    <col min="4" max="4" width="30.77734375" bestFit="1" customWidth="1"/>
    <col min="5" max="5" width="12" customWidth="1"/>
    <col min="6" max="6" width="10.109375" customWidth="1"/>
    <col min="7" max="7" width="8.88671875" customWidth="1"/>
    <col min="8" max="8" width="11.21875" customWidth="1"/>
    <col min="9" max="9" width="9.77734375" customWidth="1"/>
    <col min="10" max="10" width="13.6640625" customWidth="1"/>
    <col min="11" max="11" width="9.5546875" customWidth="1"/>
    <col min="12" max="12" width="10.33203125" customWidth="1"/>
    <col min="13" max="13" width="12" customWidth="1"/>
    <col min="14" max="14" width="11.77734375" customWidth="1"/>
    <col min="15" max="15" width="10.88671875" customWidth="1"/>
    <col min="16" max="17" width="12" customWidth="1"/>
    <col min="18" max="18" width="11.21875" customWidth="1"/>
    <col min="19" max="19" width="7.88671875" customWidth="1"/>
    <col min="20" max="20" width="8.109375" customWidth="1"/>
    <col min="21" max="21" width="8.77734375" customWidth="1"/>
    <col min="22" max="22" width="9.21875" customWidth="1"/>
    <col min="23" max="23" width="10.6640625" customWidth="1"/>
    <col min="24" max="24" width="9.77734375" customWidth="1"/>
    <col min="25" max="25" width="8.21875" customWidth="1"/>
    <col min="26" max="26" width="10.77734375" customWidth="1"/>
    <col min="27" max="27" width="9.21875" customWidth="1"/>
    <col min="28" max="28" width="9.77734375" customWidth="1"/>
    <col min="29" max="29" width="9.21875" customWidth="1"/>
    <col min="30" max="30" width="14" bestFit="1" customWidth="1"/>
    <col min="31" max="31" width="24" bestFit="1" customWidth="1"/>
    <col min="32" max="32" width="36.6640625" bestFit="1" customWidth="1"/>
  </cols>
  <sheetData>
    <row r="1" spans="1:32" s="40" customFormat="1" ht="15" thickBot="1" x14ac:dyDescent="0.35"/>
    <row r="2" spans="1:32" ht="33.6" x14ac:dyDescent="0.65">
      <c r="A2" s="59"/>
      <c r="B2" s="60"/>
      <c r="C2" s="60"/>
      <c r="D2" s="60"/>
      <c r="E2" s="65" t="s">
        <v>51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2"/>
      <c r="AF2" s="2"/>
    </row>
    <row r="3" spans="1:32" ht="33.6" x14ac:dyDescent="0.65">
      <c r="A3" s="61"/>
      <c r="B3" s="62"/>
      <c r="C3" s="62"/>
      <c r="D3" s="62"/>
      <c r="E3" s="67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2"/>
      <c r="AF3" s="2"/>
    </row>
    <row r="4" spans="1:32" ht="33.6" x14ac:dyDescent="0.65">
      <c r="A4" s="63"/>
      <c r="B4" s="64"/>
      <c r="C4" s="64"/>
      <c r="D4" s="64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2"/>
      <c r="AF4" s="2"/>
    </row>
    <row r="5" spans="1:32" ht="95.4" x14ac:dyDescent="0.3">
      <c r="A5" s="69" t="s">
        <v>0</v>
      </c>
      <c r="B5" s="71" t="s">
        <v>1</v>
      </c>
      <c r="C5" s="71" t="s">
        <v>2</v>
      </c>
      <c r="D5" s="73" t="s">
        <v>3</v>
      </c>
      <c r="E5" s="32">
        <v>46088</v>
      </c>
      <c r="F5" s="32">
        <v>46089</v>
      </c>
      <c r="G5" s="32">
        <v>46090</v>
      </c>
      <c r="H5" s="32">
        <v>46091</v>
      </c>
      <c r="I5" s="32">
        <v>46092</v>
      </c>
      <c r="J5" s="32">
        <v>46093</v>
      </c>
      <c r="K5" s="33">
        <v>46094</v>
      </c>
      <c r="L5" s="32">
        <v>46095</v>
      </c>
      <c r="M5" s="32">
        <v>46096</v>
      </c>
      <c r="N5" s="32">
        <v>46097</v>
      </c>
      <c r="O5" s="32">
        <v>46098</v>
      </c>
      <c r="P5" s="32">
        <v>46099</v>
      </c>
      <c r="Q5" s="32">
        <v>46100</v>
      </c>
      <c r="R5" s="32">
        <v>46101</v>
      </c>
      <c r="S5" s="32">
        <v>46102</v>
      </c>
      <c r="T5" s="32">
        <v>46103</v>
      </c>
      <c r="U5" s="32">
        <v>46104</v>
      </c>
      <c r="V5" s="32">
        <v>46105</v>
      </c>
      <c r="W5" s="32">
        <v>46106</v>
      </c>
      <c r="X5" s="32">
        <v>46107</v>
      </c>
      <c r="Y5" s="32">
        <v>46108</v>
      </c>
      <c r="Z5" s="32">
        <v>46109</v>
      </c>
      <c r="AA5" s="32">
        <v>46110</v>
      </c>
      <c r="AB5" s="32">
        <v>46111</v>
      </c>
      <c r="AC5" s="34">
        <v>46112</v>
      </c>
      <c r="AD5" s="3" t="s">
        <v>4</v>
      </c>
      <c r="AE5" s="47" t="s">
        <v>50</v>
      </c>
      <c r="AF5" s="47" t="s">
        <v>49</v>
      </c>
    </row>
    <row r="6" spans="1:32" ht="64.2" x14ac:dyDescent="0.3">
      <c r="A6" s="70"/>
      <c r="B6" s="72"/>
      <c r="C6" s="72"/>
      <c r="D6" s="74"/>
      <c r="E6" s="35" t="s">
        <v>11</v>
      </c>
      <c r="F6" s="35" t="s">
        <v>5</v>
      </c>
      <c r="G6" s="35" t="s">
        <v>6</v>
      </c>
      <c r="H6" s="35" t="s">
        <v>7</v>
      </c>
      <c r="I6" s="35" t="s">
        <v>8</v>
      </c>
      <c r="J6" s="35" t="s">
        <v>9</v>
      </c>
      <c r="K6" s="36" t="s">
        <v>10</v>
      </c>
      <c r="L6" s="35" t="s">
        <v>11</v>
      </c>
      <c r="M6" s="35" t="s">
        <v>5</v>
      </c>
      <c r="N6" s="35" t="s">
        <v>6</v>
      </c>
      <c r="O6" s="35" t="s">
        <v>7</v>
      </c>
      <c r="P6" s="35" t="s">
        <v>8</v>
      </c>
      <c r="Q6" s="35" t="s">
        <v>9</v>
      </c>
      <c r="R6" s="35" t="s">
        <v>10</v>
      </c>
      <c r="S6" s="35" t="s">
        <v>11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5</v>
      </c>
      <c r="AB6" s="35" t="s">
        <v>6</v>
      </c>
      <c r="AC6" s="37" t="s">
        <v>7</v>
      </c>
      <c r="AD6" s="4" t="s">
        <v>12</v>
      </c>
      <c r="AE6" s="47"/>
      <c r="AF6" s="47"/>
    </row>
    <row r="7" spans="1:32" s="1" customFormat="1" ht="36.6" x14ac:dyDescent="0.7">
      <c r="A7" s="6">
        <v>1</v>
      </c>
      <c r="B7" s="7">
        <v>2514785548</v>
      </c>
      <c r="C7" s="7" t="s">
        <v>14</v>
      </c>
      <c r="D7" s="7" t="s">
        <v>15</v>
      </c>
      <c r="E7" s="8">
        <v>8</v>
      </c>
      <c r="F7" s="9">
        <v>8</v>
      </c>
      <c r="G7" s="9">
        <v>8</v>
      </c>
      <c r="H7" s="9">
        <v>8</v>
      </c>
      <c r="I7" s="9">
        <v>8</v>
      </c>
      <c r="J7" s="9">
        <v>8</v>
      </c>
      <c r="K7" s="10"/>
      <c r="L7" s="9">
        <v>8</v>
      </c>
      <c r="M7" s="9">
        <v>8</v>
      </c>
      <c r="N7" s="9">
        <v>8</v>
      </c>
      <c r="O7" s="9">
        <v>8</v>
      </c>
      <c r="P7" s="9">
        <v>8</v>
      </c>
      <c r="Q7" s="50" t="s">
        <v>39</v>
      </c>
      <c r="R7" s="51"/>
      <c r="S7" s="51"/>
      <c r="T7" s="51"/>
      <c r="U7" s="52"/>
      <c r="V7" s="9">
        <v>9</v>
      </c>
      <c r="W7" s="9">
        <v>9</v>
      </c>
      <c r="X7" s="9">
        <v>9</v>
      </c>
      <c r="Y7" s="5"/>
      <c r="Z7" s="9">
        <v>9</v>
      </c>
      <c r="AA7" s="10" t="s">
        <v>13</v>
      </c>
      <c r="AB7" s="11">
        <v>9</v>
      </c>
      <c r="AC7" s="12" t="s">
        <v>13</v>
      </c>
      <c r="AD7" s="13">
        <f>SUM(E7:AC7)</f>
        <v>133</v>
      </c>
      <c r="AE7" s="14">
        <v>56</v>
      </c>
      <c r="AF7" s="15">
        <f>AD7*AE7</f>
        <v>7448</v>
      </c>
    </row>
    <row r="8" spans="1:32" s="1" customFormat="1" ht="36.6" x14ac:dyDescent="0.7">
      <c r="A8" s="6">
        <v>2</v>
      </c>
      <c r="B8" s="7">
        <v>2512991254</v>
      </c>
      <c r="C8" s="7" t="s">
        <v>16</v>
      </c>
      <c r="D8" s="7" t="s">
        <v>17</v>
      </c>
      <c r="E8" s="16">
        <v>8</v>
      </c>
      <c r="F8" s="17">
        <v>8</v>
      </c>
      <c r="G8" s="17">
        <v>8</v>
      </c>
      <c r="H8" s="17">
        <v>8</v>
      </c>
      <c r="I8" s="17">
        <v>8</v>
      </c>
      <c r="J8" s="17">
        <v>8</v>
      </c>
      <c r="K8" s="18"/>
      <c r="L8" s="17">
        <v>8</v>
      </c>
      <c r="M8" s="11">
        <v>8</v>
      </c>
      <c r="N8" s="11">
        <v>8</v>
      </c>
      <c r="O8" s="11">
        <v>8</v>
      </c>
      <c r="P8" s="11">
        <v>8</v>
      </c>
      <c r="Q8" s="53"/>
      <c r="R8" s="54"/>
      <c r="S8" s="54"/>
      <c r="T8" s="54"/>
      <c r="U8" s="55"/>
      <c r="V8" s="11">
        <v>9</v>
      </c>
      <c r="W8" s="11">
        <v>9</v>
      </c>
      <c r="X8" s="11">
        <v>9</v>
      </c>
      <c r="Y8" s="19"/>
      <c r="Z8" s="11">
        <v>9</v>
      </c>
      <c r="AA8" s="10" t="s">
        <v>13</v>
      </c>
      <c r="AB8" s="11" t="s">
        <v>13</v>
      </c>
      <c r="AC8" s="12" t="s">
        <v>13</v>
      </c>
      <c r="AD8" s="13">
        <f t="shared" ref="AD8:AD33" si="0">SUM(E8:AC8)</f>
        <v>124</v>
      </c>
      <c r="AE8" s="14">
        <v>48</v>
      </c>
      <c r="AF8" s="15">
        <f t="shared" ref="AF8:AF34" si="1">AD8*AE8</f>
        <v>5952</v>
      </c>
    </row>
    <row r="9" spans="1:32" s="1" customFormat="1" ht="36.6" x14ac:dyDescent="0.7">
      <c r="A9" s="6">
        <v>3</v>
      </c>
      <c r="B9" s="7">
        <v>2432602981</v>
      </c>
      <c r="C9" s="7" t="s">
        <v>18</v>
      </c>
      <c r="D9" s="7" t="s">
        <v>17</v>
      </c>
      <c r="E9" s="16">
        <v>8</v>
      </c>
      <c r="F9" s="17">
        <v>8</v>
      </c>
      <c r="G9" s="17">
        <v>8</v>
      </c>
      <c r="H9" s="17">
        <v>8</v>
      </c>
      <c r="I9" s="17">
        <v>8</v>
      </c>
      <c r="J9" s="17" t="s">
        <v>13</v>
      </c>
      <c r="K9" s="18"/>
      <c r="L9" s="17">
        <v>8</v>
      </c>
      <c r="M9" s="11">
        <v>8</v>
      </c>
      <c r="N9" s="11">
        <v>8</v>
      </c>
      <c r="O9" s="11">
        <v>8</v>
      </c>
      <c r="P9" s="11">
        <v>8</v>
      </c>
      <c r="Q9" s="53"/>
      <c r="R9" s="54"/>
      <c r="S9" s="54"/>
      <c r="T9" s="54"/>
      <c r="U9" s="55"/>
      <c r="V9" s="11">
        <v>9</v>
      </c>
      <c r="W9" s="11">
        <v>9</v>
      </c>
      <c r="X9" s="11">
        <v>9</v>
      </c>
      <c r="Y9" s="18"/>
      <c r="Z9" s="11">
        <v>9</v>
      </c>
      <c r="AA9" s="10" t="s">
        <v>13</v>
      </c>
      <c r="AB9" s="11">
        <v>9</v>
      </c>
      <c r="AC9" s="12" t="s">
        <v>13</v>
      </c>
      <c r="AD9" s="13">
        <f t="shared" si="0"/>
        <v>125</v>
      </c>
      <c r="AE9" s="14">
        <v>48</v>
      </c>
      <c r="AF9" s="15">
        <f t="shared" si="1"/>
        <v>6000</v>
      </c>
    </row>
    <row r="10" spans="1:32" s="1" customFormat="1" ht="36.6" x14ac:dyDescent="0.7">
      <c r="A10" s="6">
        <v>4</v>
      </c>
      <c r="B10" s="7">
        <v>2590965097</v>
      </c>
      <c r="C10" s="7" t="s">
        <v>19</v>
      </c>
      <c r="D10" s="7" t="s">
        <v>17</v>
      </c>
      <c r="E10" s="16">
        <v>8</v>
      </c>
      <c r="F10" s="17">
        <v>8</v>
      </c>
      <c r="G10" s="17">
        <v>8</v>
      </c>
      <c r="H10" s="17" t="s">
        <v>13</v>
      </c>
      <c r="I10" s="17">
        <v>8</v>
      </c>
      <c r="J10" s="17">
        <v>8</v>
      </c>
      <c r="K10" s="18"/>
      <c r="L10" s="17">
        <v>8</v>
      </c>
      <c r="M10" s="11">
        <v>8</v>
      </c>
      <c r="N10" s="11">
        <v>8</v>
      </c>
      <c r="O10" s="11">
        <v>8</v>
      </c>
      <c r="P10" s="11">
        <v>8</v>
      </c>
      <c r="Q10" s="53"/>
      <c r="R10" s="54"/>
      <c r="S10" s="54"/>
      <c r="T10" s="54"/>
      <c r="U10" s="55"/>
      <c r="V10" s="11">
        <v>9</v>
      </c>
      <c r="W10" s="11">
        <v>9</v>
      </c>
      <c r="X10" s="11">
        <v>9</v>
      </c>
      <c r="Y10" s="18"/>
      <c r="Z10" s="11">
        <v>9</v>
      </c>
      <c r="AA10" s="10" t="s">
        <v>13</v>
      </c>
      <c r="AB10" s="17" t="s">
        <v>13</v>
      </c>
      <c r="AC10" s="12" t="s">
        <v>13</v>
      </c>
      <c r="AD10" s="13">
        <f t="shared" si="0"/>
        <v>116</v>
      </c>
      <c r="AE10" s="14">
        <v>48</v>
      </c>
      <c r="AF10" s="15">
        <f t="shared" si="1"/>
        <v>5568</v>
      </c>
    </row>
    <row r="11" spans="1:32" s="1" customFormat="1" ht="36.6" x14ac:dyDescent="0.7">
      <c r="A11" s="6">
        <v>5</v>
      </c>
      <c r="B11" s="7">
        <v>2590966053</v>
      </c>
      <c r="C11" s="7" t="s">
        <v>20</v>
      </c>
      <c r="D11" s="7" t="s">
        <v>17</v>
      </c>
      <c r="E11" s="16">
        <v>8</v>
      </c>
      <c r="F11" s="17">
        <v>8</v>
      </c>
      <c r="G11" s="17">
        <v>8</v>
      </c>
      <c r="H11" s="17">
        <v>8</v>
      </c>
      <c r="I11" s="17">
        <v>8</v>
      </c>
      <c r="J11" s="17">
        <v>8</v>
      </c>
      <c r="K11" s="18"/>
      <c r="L11" s="17">
        <v>8</v>
      </c>
      <c r="M11" s="11">
        <v>8</v>
      </c>
      <c r="N11" s="11">
        <v>8</v>
      </c>
      <c r="O11" s="11">
        <v>8</v>
      </c>
      <c r="P11" s="11">
        <v>8</v>
      </c>
      <c r="Q11" s="53"/>
      <c r="R11" s="54"/>
      <c r="S11" s="54"/>
      <c r="T11" s="54"/>
      <c r="U11" s="55"/>
      <c r="V11" s="11">
        <v>9</v>
      </c>
      <c r="W11" s="11">
        <v>9</v>
      </c>
      <c r="X11" s="11">
        <v>9</v>
      </c>
      <c r="Y11" s="18"/>
      <c r="Z11" s="11">
        <v>9</v>
      </c>
      <c r="AA11" s="10" t="s">
        <v>13</v>
      </c>
      <c r="AB11" s="17" t="s">
        <v>13</v>
      </c>
      <c r="AC11" s="12" t="s">
        <v>13</v>
      </c>
      <c r="AD11" s="13">
        <f t="shared" si="0"/>
        <v>124</v>
      </c>
      <c r="AE11" s="14">
        <v>48</v>
      </c>
      <c r="AF11" s="15">
        <f t="shared" si="1"/>
        <v>5952</v>
      </c>
    </row>
    <row r="12" spans="1:32" s="1" customFormat="1" ht="36.6" x14ac:dyDescent="0.7">
      <c r="A12" s="6">
        <v>6</v>
      </c>
      <c r="B12" s="7">
        <v>2591178781</v>
      </c>
      <c r="C12" s="7" t="s">
        <v>21</v>
      </c>
      <c r="D12" s="7" t="s">
        <v>17</v>
      </c>
      <c r="E12" s="16">
        <v>8</v>
      </c>
      <c r="F12" s="17">
        <v>8</v>
      </c>
      <c r="G12" s="17">
        <v>8</v>
      </c>
      <c r="H12" s="17">
        <v>8</v>
      </c>
      <c r="I12" s="17">
        <v>8</v>
      </c>
      <c r="J12" s="17">
        <v>8</v>
      </c>
      <c r="K12" s="18"/>
      <c r="L12" s="17">
        <v>8</v>
      </c>
      <c r="M12" s="11">
        <v>8</v>
      </c>
      <c r="N12" s="11">
        <v>8</v>
      </c>
      <c r="O12" s="11">
        <v>8</v>
      </c>
      <c r="P12" s="11">
        <v>8</v>
      </c>
      <c r="Q12" s="53"/>
      <c r="R12" s="54"/>
      <c r="S12" s="54"/>
      <c r="T12" s="54"/>
      <c r="U12" s="55"/>
      <c r="V12" s="11">
        <v>9</v>
      </c>
      <c r="W12" s="11">
        <v>9</v>
      </c>
      <c r="X12" s="11">
        <v>9</v>
      </c>
      <c r="Y12" s="18"/>
      <c r="Z12" s="11">
        <v>9</v>
      </c>
      <c r="AA12" s="10" t="s">
        <v>13</v>
      </c>
      <c r="AB12" s="17" t="s">
        <v>13</v>
      </c>
      <c r="AC12" s="12" t="s">
        <v>13</v>
      </c>
      <c r="AD12" s="13">
        <f t="shared" si="0"/>
        <v>124</v>
      </c>
      <c r="AE12" s="14">
        <v>48</v>
      </c>
      <c r="AF12" s="15">
        <f t="shared" si="1"/>
        <v>5952</v>
      </c>
    </row>
    <row r="13" spans="1:32" s="1" customFormat="1" ht="36.6" x14ac:dyDescent="0.7">
      <c r="A13" s="6">
        <v>7</v>
      </c>
      <c r="B13" s="7">
        <v>2590962714</v>
      </c>
      <c r="C13" s="7" t="s">
        <v>22</v>
      </c>
      <c r="D13" s="7" t="s">
        <v>17</v>
      </c>
      <c r="E13" s="16">
        <v>8</v>
      </c>
      <c r="F13" s="17">
        <v>8</v>
      </c>
      <c r="G13" s="17">
        <v>8</v>
      </c>
      <c r="H13" s="17">
        <v>8</v>
      </c>
      <c r="I13" s="17">
        <v>8</v>
      </c>
      <c r="J13" s="17">
        <v>8</v>
      </c>
      <c r="K13" s="18"/>
      <c r="L13" s="17">
        <v>8</v>
      </c>
      <c r="M13" s="11" t="s">
        <v>13</v>
      </c>
      <c r="N13" s="11">
        <v>8</v>
      </c>
      <c r="O13" s="11">
        <v>8</v>
      </c>
      <c r="P13" s="11">
        <v>8</v>
      </c>
      <c r="Q13" s="53"/>
      <c r="R13" s="54"/>
      <c r="S13" s="54"/>
      <c r="T13" s="54"/>
      <c r="U13" s="55"/>
      <c r="V13" s="11">
        <v>9</v>
      </c>
      <c r="W13" s="11">
        <v>9</v>
      </c>
      <c r="X13" s="11">
        <v>9</v>
      </c>
      <c r="Y13" s="18"/>
      <c r="Z13" s="11">
        <v>9</v>
      </c>
      <c r="AA13" s="10" t="s">
        <v>13</v>
      </c>
      <c r="AB13" s="17">
        <v>9</v>
      </c>
      <c r="AC13" s="12" t="s">
        <v>13</v>
      </c>
      <c r="AD13" s="13">
        <f t="shared" si="0"/>
        <v>125</v>
      </c>
      <c r="AE13" s="14">
        <v>48</v>
      </c>
      <c r="AF13" s="15">
        <f t="shared" si="1"/>
        <v>6000</v>
      </c>
    </row>
    <row r="14" spans="1:32" s="1" customFormat="1" ht="36.6" x14ac:dyDescent="0.7">
      <c r="A14" s="6">
        <v>8</v>
      </c>
      <c r="B14" s="7">
        <v>2564449375</v>
      </c>
      <c r="C14" s="7" t="s">
        <v>23</v>
      </c>
      <c r="D14" s="7" t="s">
        <v>17</v>
      </c>
      <c r="E14" s="16" t="s">
        <v>13</v>
      </c>
      <c r="F14" s="17">
        <v>8</v>
      </c>
      <c r="G14" s="17">
        <v>8</v>
      </c>
      <c r="H14" s="17">
        <v>8</v>
      </c>
      <c r="I14" s="17">
        <v>8</v>
      </c>
      <c r="J14" s="17">
        <v>8</v>
      </c>
      <c r="K14" s="18"/>
      <c r="L14" s="17">
        <v>8</v>
      </c>
      <c r="M14" s="11">
        <v>8</v>
      </c>
      <c r="N14" s="11" t="s">
        <v>13</v>
      </c>
      <c r="O14" s="11" t="s">
        <v>13</v>
      </c>
      <c r="P14" s="11">
        <v>8</v>
      </c>
      <c r="Q14" s="53"/>
      <c r="R14" s="54"/>
      <c r="S14" s="54"/>
      <c r="T14" s="54"/>
      <c r="U14" s="55"/>
      <c r="V14" s="11">
        <v>9</v>
      </c>
      <c r="W14" s="11">
        <v>9</v>
      </c>
      <c r="X14" s="11">
        <v>9</v>
      </c>
      <c r="Y14" s="18"/>
      <c r="Z14" s="17">
        <v>9</v>
      </c>
      <c r="AA14" s="10" t="s">
        <v>13</v>
      </c>
      <c r="AB14" s="17" t="s">
        <v>13</v>
      </c>
      <c r="AC14" s="12" t="s">
        <v>13</v>
      </c>
      <c r="AD14" s="13">
        <f t="shared" si="0"/>
        <v>100</v>
      </c>
      <c r="AE14" s="14">
        <v>48</v>
      </c>
      <c r="AF14" s="15">
        <f t="shared" si="1"/>
        <v>4800</v>
      </c>
    </row>
    <row r="15" spans="1:32" s="1" customFormat="1" ht="36.6" x14ac:dyDescent="0.7">
      <c r="A15" s="6">
        <v>9</v>
      </c>
      <c r="B15" s="7">
        <v>2590961724</v>
      </c>
      <c r="C15" s="7" t="s">
        <v>24</v>
      </c>
      <c r="D15" s="7" t="s">
        <v>17</v>
      </c>
      <c r="E15" s="16" t="s">
        <v>13</v>
      </c>
      <c r="F15" s="17">
        <v>8</v>
      </c>
      <c r="G15" s="17">
        <v>8</v>
      </c>
      <c r="H15" s="17">
        <v>8</v>
      </c>
      <c r="I15" s="17">
        <v>8</v>
      </c>
      <c r="J15" s="17">
        <v>8</v>
      </c>
      <c r="K15" s="18"/>
      <c r="L15" s="17">
        <v>8</v>
      </c>
      <c r="M15" s="11">
        <v>8</v>
      </c>
      <c r="N15" s="11">
        <v>8</v>
      </c>
      <c r="O15" s="11">
        <v>8</v>
      </c>
      <c r="P15" s="11">
        <v>8</v>
      </c>
      <c r="Q15" s="53"/>
      <c r="R15" s="54"/>
      <c r="S15" s="54"/>
      <c r="T15" s="54"/>
      <c r="U15" s="55"/>
      <c r="V15" s="11">
        <v>9</v>
      </c>
      <c r="W15" s="11">
        <v>9</v>
      </c>
      <c r="X15" s="11">
        <v>9</v>
      </c>
      <c r="Y15" s="18"/>
      <c r="Z15" s="17">
        <v>9</v>
      </c>
      <c r="AA15" s="10" t="s">
        <v>13</v>
      </c>
      <c r="AB15" s="17" t="s">
        <v>13</v>
      </c>
      <c r="AC15" s="12" t="s">
        <v>13</v>
      </c>
      <c r="AD15" s="13">
        <f t="shared" si="0"/>
        <v>116</v>
      </c>
      <c r="AE15" s="14">
        <v>48</v>
      </c>
      <c r="AF15" s="15">
        <f t="shared" si="1"/>
        <v>5568</v>
      </c>
    </row>
    <row r="16" spans="1:32" s="1" customFormat="1" ht="36.6" x14ac:dyDescent="0.7">
      <c r="A16" s="6">
        <v>10</v>
      </c>
      <c r="B16" s="7">
        <v>2591178708</v>
      </c>
      <c r="C16" s="7" t="s">
        <v>25</v>
      </c>
      <c r="D16" s="7" t="s">
        <v>17</v>
      </c>
      <c r="E16" s="16" t="s">
        <v>13</v>
      </c>
      <c r="F16" s="17" t="s">
        <v>13</v>
      </c>
      <c r="G16" s="17">
        <v>8</v>
      </c>
      <c r="H16" s="17">
        <v>8</v>
      </c>
      <c r="I16" s="17">
        <v>8</v>
      </c>
      <c r="J16" s="17">
        <v>8</v>
      </c>
      <c r="K16" s="18"/>
      <c r="L16" s="17">
        <v>8</v>
      </c>
      <c r="M16" s="11">
        <v>8</v>
      </c>
      <c r="N16" s="11">
        <v>8</v>
      </c>
      <c r="O16" s="11">
        <v>8</v>
      </c>
      <c r="P16" s="11">
        <v>8</v>
      </c>
      <c r="Q16" s="53"/>
      <c r="R16" s="54"/>
      <c r="S16" s="54"/>
      <c r="T16" s="54"/>
      <c r="U16" s="55"/>
      <c r="V16" s="11">
        <v>9</v>
      </c>
      <c r="W16" s="11">
        <v>9</v>
      </c>
      <c r="X16" s="11">
        <v>9</v>
      </c>
      <c r="Y16" s="18"/>
      <c r="Z16" s="17">
        <v>9</v>
      </c>
      <c r="AA16" s="10" t="s">
        <v>13</v>
      </c>
      <c r="AB16" s="17" t="s">
        <v>13</v>
      </c>
      <c r="AC16" s="12" t="s">
        <v>13</v>
      </c>
      <c r="AD16" s="13">
        <f t="shared" si="0"/>
        <v>108</v>
      </c>
      <c r="AE16" s="14">
        <v>48</v>
      </c>
      <c r="AF16" s="15">
        <f t="shared" si="1"/>
        <v>5184</v>
      </c>
    </row>
    <row r="17" spans="1:32" s="1" customFormat="1" ht="36.6" x14ac:dyDescent="0.7">
      <c r="A17" s="6">
        <v>11</v>
      </c>
      <c r="B17" s="7">
        <v>2591047689</v>
      </c>
      <c r="C17" s="7" t="s">
        <v>26</v>
      </c>
      <c r="D17" s="7" t="s">
        <v>17</v>
      </c>
      <c r="E17" s="16" t="s">
        <v>13</v>
      </c>
      <c r="F17" s="17" t="s">
        <v>13</v>
      </c>
      <c r="G17" s="17">
        <v>8</v>
      </c>
      <c r="H17" s="17">
        <v>8</v>
      </c>
      <c r="I17" s="17">
        <v>8</v>
      </c>
      <c r="J17" s="17">
        <v>8</v>
      </c>
      <c r="K17" s="18"/>
      <c r="L17" s="17">
        <v>8</v>
      </c>
      <c r="M17" s="11">
        <v>8</v>
      </c>
      <c r="N17" s="11">
        <v>8</v>
      </c>
      <c r="O17" s="11">
        <v>8</v>
      </c>
      <c r="P17" s="11">
        <v>8</v>
      </c>
      <c r="Q17" s="53"/>
      <c r="R17" s="54"/>
      <c r="S17" s="54"/>
      <c r="T17" s="54"/>
      <c r="U17" s="55"/>
      <c r="V17" s="11">
        <v>9</v>
      </c>
      <c r="W17" s="11">
        <v>9</v>
      </c>
      <c r="X17" s="11">
        <v>9</v>
      </c>
      <c r="Y17" s="18"/>
      <c r="Z17" s="17">
        <v>9</v>
      </c>
      <c r="AA17" s="10" t="s">
        <v>13</v>
      </c>
      <c r="AB17" s="17" t="s">
        <v>13</v>
      </c>
      <c r="AC17" s="12" t="s">
        <v>13</v>
      </c>
      <c r="AD17" s="13">
        <f t="shared" si="0"/>
        <v>108</v>
      </c>
      <c r="AE17" s="14">
        <v>48</v>
      </c>
      <c r="AF17" s="15">
        <f t="shared" si="1"/>
        <v>5184</v>
      </c>
    </row>
    <row r="18" spans="1:32" s="1" customFormat="1" ht="36.6" x14ac:dyDescent="0.7">
      <c r="A18" s="6">
        <v>12</v>
      </c>
      <c r="B18" s="7">
        <v>2561455847</v>
      </c>
      <c r="C18" s="7" t="s">
        <v>27</v>
      </c>
      <c r="D18" s="7" t="s">
        <v>17</v>
      </c>
      <c r="E18" s="16" t="s">
        <v>13</v>
      </c>
      <c r="F18" s="17" t="s">
        <v>13</v>
      </c>
      <c r="G18" s="17">
        <v>8</v>
      </c>
      <c r="H18" s="17">
        <v>8</v>
      </c>
      <c r="I18" s="17">
        <v>8</v>
      </c>
      <c r="J18" s="17">
        <v>8</v>
      </c>
      <c r="K18" s="18"/>
      <c r="L18" s="17">
        <v>8</v>
      </c>
      <c r="M18" s="11">
        <v>8</v>
      </c>
      <c r="N18" s="11">
        <v>8</v>
      </c>
      <c r="O18" s="11">
        <v>8</v>
      </c>
      <c r="P18" s="11">
        <v>8</v>
      </c>
      <c r="Q18" s="53"/>
      <c r="R18" s="54"/>
      <c r="S18" s="54"/>
      <c r="T18" s="54"/>
      <c r="U18" s="55"/>
      <c r="V18" s="11">
        <v>9</v>
      </c>
      <c r="W18" s="11">
        <v>9</v>
      </c>
      <c r="X18" s="11">
        <v>9</v>
      </c>
      <c r="Y18" s="18"/>
      <c r="Z18" s="17">
        <v>9</v>
      </c>
      <c r="AA18" s="10" t="s">
        <v>13</v>
      </c>
      <c r="AB18" s="17" t="s">
        <v>13</v>
      </c>
      <c r="AC18" s="12" t="s">
        <v>13</v>
      </c>
      <c r="AD18" s="13">
        <f t="shared" si="0"/>
        <v>108</v>
      </c>
      <c r="AE18" s="14">
        <v>48</v>
      </c>
      <c r="AF18" s="15">
        <f t="shared" si="1"/>
        <v>5184</v>
      </c>
    </row>
    <row r="19" spans="1:32" s="1" customFormat="1" ht="36.6" x14ac:dyDescent="0.7">
      <c r="A19" s="6">
        <v>13</v>
      </c>
      <c r="B19" s="7">
        <v>2600080879</v>
      </c>
      <c r="C19" s="7" t="s">
        <v>28</v>
      </c>
      <c r="D19" s="7" t="s">
        <v>17</v>
      </c>
      <c r="E19" s="16" t="s">
        <v>13</v>
      </c>
      <c r="F19" s="17" t="s">
        <v>13</v>
      </c>
      <c r="G19" s="17">
        <v>8</v>
      </c>
      <c r="H19" s="17">
        <v>8</v>
      </c>
      <c r="I19" s="17">
        <v>8</v>
      </c>
      <c r="J19" s="17">
        <v>8</v>
      </c>
      <c r="K19" s="18"/>
      <c r="L19" s="17">
        <v>8</v>
      </c>
      <c r="M19" s="11">
        <v>8</v>
      </c>
      <c r="N19" s="11">
        <v>8</v>
      </c>
      <c r="O19" s="11">
        <v>8</v>
      </c>
      <c r="P19" s="11">
        <v>8</v>
      </c>
      <c r="Q19" s="53"/>
      <c r="R19" s="54"/>
      <c r="S19" s="54"/>
      <c r="T19" s="54"/>
      <c r="U19" s="55"/>
      <c r="V19" s="11">
        <v>9</v>
      </c>
      <c r="W19" s="11">
        <v>9</v>
      </c>
      <c r="X19" s="11" t="s">
        <v>13</v>
      </c>
      <c r="Y19" s="18"/>
      <c r="Z19" s="17" t="s">
        <v>13</v>
      </c>
      <c r="AA19" s="10" t="s">
        <v>13</v>
      </c>
      <c r="AB19" s="17" t="s">
        <v>13</v>
      </c>
      <c r="AC19" s="12" t="s">
        <v>13</v>
      </c>
      <c r="AD19" s="13">
        <f t="shared" si="0"/>
        <v>90</v>
      </c>
      <c r="AE19" s="14">
        <v>48</v>
      </c>
      <c r="AF19" s="15">
        <f t="shared" si="1"/>
        <v>4320</v>
      </c>
    </row>
    <row r="20" spans="1:32" s="1" customFormat="1" ht="36.6" x14ac:dyDescent="0.7">
      <c r="A20" s="6">
        <v>14</v>
      </c>
      <c r="B20" s="7">
        <v>2596710935</v>
      </c>
      <c r="C20" s="7" t="s">
        <v>29</v>
      </c>
      <c r="D20" s="7" t="s">
        <v>17</v>
      </c>
      <c r="E20" s="16" t="s">
        <v>13</v>
      </c>
      <c r="F20" s="17" t="s">
        <v>13</v>
      </c>
      <c r="G20" s="17">
        <v>8</v>
      </c>
      <c r="H20" s="17">
        <v>8</v>
      </c>
      <c r="I20" s="17">
        <v>8</v>
      </c>
      <c r="J20" s="17">
        <v>8</v>
      </c>
      <c r="K20" s="18"/>
      <c r="L20" s="17">
        <v>8</v>
      </c>
      <c r="M20" s="11">
        <v>8</v>
      </c>
      <c r="N20" s="11">
        <v>8</v>
      </c>
      <c r="O20" s="11">
        <v>8</v>
      </c>
      <c r="P20" s="11">
        <v>8</v>
      </c>
      <c r="Q20" s="53"/>
      <c r="R20" s="54"/>
      <c r="S20" s="54"/>
      <c r="T20" s="54"/>
      <c r="U20" s="55"/>
      <c r="V20" s="11">
        <v>9</v>
      </c>
      <c r="W20" s="11">
        <v>9</v>
      </c>
      <c r="X20" s="11">
        <v>9</v>
      </c>
      <c r="Y20" s="18"/>
      <c r="Z20" s="17">
        <v>9</v>
      </c>
      <c r="AA20" s="10" t="s">
        <v>13</v>
      </c>
      <c r="AB20" s="17" t="s">
        <v>13</v>
      </c>
      <c r="AC20" s="12" t="s">
        <v>13</v>
      </c>
      <c r="AD20" s="13">
        <f t="shared" si="0"/>
        <v>108</v>
      </c>
      <c r="AE20" s="14">
        <v>48</v>
      </c>
      <c r="AF20" s="15">
        <f t="shared" si="1"/>
        <v>5184</v>
      </c>
    </row>
    <row r="21" spans="1:32" s="1" customFormat="1" ht="36.6" x14ac:dyDescent="0.7">
      <c r="A21" s="6">
        <v>15</v>
      </c>
      <c r="B21" s="7">
        <v>2596712725</v>
      </c>
      <c r="C21" s="7" t="s">
        <v>30</v>
      </c>
      <c r="D21" s="7" t="s">
        <v>17</v>
      </c>
      <c r="E21" s="16" t="s">
        <v>13</v>
      </c>
      <c r="F21" s="17" t="s">
        <v>13</v>
      </c>
      <c r="G21" s="17">
        <v>8</v>
      </c>
      <c r="H21" s="17">
        <v>8</v>
      </c>
      <c r="I21" s="17">
        <v>8</v>
      </c>
      <c r="J21" s="17">
        <v>8</v>
      </c>
      <c r="K21" s="18"/>
      <c r="L21" s="17">
        <v>8</v>
      </c>
      <c r="M21" s="11">
        <v>8</v>
      </c>
      <c r="N21" s="11">
        <v>8</v>
      </c>
      <c r="O21" s="11">
        <v>8</v>
      </c>
      <c r="P21" s="11">
        <v>8</v>
      </c>
      <c r="Q21" s="53"/>
      <c r="R21" s="54"/>
      <c r="S21" s="54"/>
      <c r="T21" s="54"/>
      <c r="U21" s="55"/>
      <c r="V21" s="11">
        <v>9</v>
      </c>
      <c r="W21" s="11">
        <v>9</v>
      </c>
      <c r="X21" s="11">
        <v>9</v>
      </c>
      <c r="Y21" s="18"/>
      <c r="Z21" s="17">
        <v>9</v>
      </c>
      <c r="AA21" s="10" t="s">
        <v>13</v>
      </c>
      <c r="AB21" s="17" t="s">
        <v>13</v>
      </c>
      <c r="AC21" s="12" t="s">
        <v>13</v>
      </c>
      <c r="AD21" s="13">
        <f t="shared" si="0"/>
        <v>108</v>
      </c>
      <c r="AE21" s="14">
        <v>48</v>
      </c>
      <c r="AF21" s="15">
        <f t="shared" si="1"/>
        <v>5184</v>
      </c>
    </row>
    <row r="22" spans="1:32" s="1" customFormat="1" ht="36.6" x14ac:dyDescent="0.7">
      <c r="A22" s="6">
        <v>16</v>
      </c>
      <c r="B22" s="7">
        <v>2558359226</v>
      </c>
      <c r="C22" s="7" t="s">
        <v>31</v>
      </c>
      <c r="D22" s="7" t="s">
        <v>17</v>
      </c>
      <c r="E22" s="16" t="s">
        <v>13</v>
      </c>
      <c r="F22" s="17" t="s">
        <v>13</v>
      </c>
      <c r="G22" s="17">
        <v>8</v>
      </c>
      <c r="H22" s="17">
        <v>8</v>
      </c>
      <c r="I22" s="17">
        <v>8</v>
      </c>
      <c r="J22" s="17">
        <v>8</v>
      </c>
      <c r="K22" s="18"/>
      <c r="L22" s="17">
        <v>8</v>
      </c>
      <c r="M22" s="11">
        <v>8</v>
      </c>
      <c r="N22" s="11">
        <v>8</v>
      </c>
      <c r="O22" s="11">
        <v>8</v>
      </c>
      <c r="P22" s="11">
        <v>8</v>
      </c>
      <c r="Q22" s="53"/>
      <c r="R22" s="54"/>
      <c r="S22" s="54"/>
      <c r="T22" s="54"/>
      <c r="U22" s="55"/>
      <c r="V22" s="11">
        <v>9</v>
      </c>
      <c r="W22" s="11">
        <v>9</v>
      </c>
      <c r="X22" s="11">
        <v>9</v>
      </c>
      <c r="Y22" s="18"/>
      <c r="Z22" s="17">
        <v>9</v>
      </c>
      <c r="AA22" s="10" t="s">
        <v>13</v>
      </c>
      <c r="AB22" s="17" t="s">
        <v>13</v>
      </c>
      <c r="AC22" s="12" t="s">
        <v>13</v>
      </c>
      <c r="AD22" s="13">
        <f t="shared" si="0"/>
        <v>108</v>
      </c>
      <c r="AE22" s="14">
        <v>48</v>
      </c>
      <c r="AF22" s="15">
        <f t="shared" si="1"/>
        <v>5184</v>
      </c>
    </row>
    <row r="23" spans="1:32" s="1" customFormat="1" ht="36.6" x14ac:dyDescent="0.7">
      <c r="A23" s="6">
        <v>17</v>
      </c>
      <c r="B23" s="7">
        <v>2561453461</v>
      </c>
      <c r="C23" s="7" t="s">
        <v>32</v>
      </c>
      <c r="D23" s="7" t="s">
        <v>17</v>
      </c>
      <c r="E23" s="16" t="s">
        <v>13</v>
      </c>
      <c r="F23" s="17" t="s">
        <v>13</v>
      </c>
      <c r="G23" s="17">
        <v>8</v>
      </c>
      <c r="H23" s="17">
        <v>8</v>
      </c>
      <c r="I23" s="17">
        <v>8</v>
      </c>
      <c r="J23" s="17">
        <v>8</v>
      </c>
      <c r="K23" s="18"/>
      <c r="L23" s="17">
        <v>8</v>
      </c>
      <c r="M23" s="11">
        <v>8</v>
      </c>
      <c r="N23" s="11">
        <v>8</v>
      </c>
      <c r="O23" s="11">
        <v>8</v>
      </c>
      <c r="P23" s="11">
        <v>8</v>
      </c>
      <c r="Q23" s="53"/>
      <c r="R23" s="54"/>
      <c r="S23" s="54"/>
      <c r="T23" s="54"/>
      <c r="U23" s="55"/>
      <c r="V23" s="11">
        <v>9</v>
      </c>
      <c r="W23" s="11">
        <v>9</v>
      </c>
      <c r="X23" s="11">
        <v>9</v>
      </c>
      <c r="Y23" s="18"/>
      <c r="Z23" s="17">
        <v>9</v>
      </c>
      <c r="AA23" s="10" t="s">
        <v>13</v>
      </c>
      <c r="AB23" s="17" t="s">
        <v>13</v>
      </c>
      <c r="AC23" s="12" t="s">
        <v>13</v>
      </c>
      <c r="AD23" s="13">
        <f t="shared" si="0"/>
        <v>108</v>
      </c>
      <c r="AE23" s="14">
        <v>48</v>
      </c>
      <c r="AF23" s="15">
        <f t="shared" si="1"/>
        <v>5184</v>
      </c>
    </row>
    <row r="24" spans="1:32" s="1" customFormat="1" ht="36.6" x14ac:dyDescent="0.7">
      <c r="A24" s="6">
        <v>18</v>
      </c>
      <c r="B24" s="7">
        <v>2593168681</v>
      </c>
      <c r="C24" s="7" t="s">
        <v>33</v>
      </c>
      <c r="D24" s="7" t="s">
        <v>17</v>
      </c>
      <c r="E24" s="16" t="s">
        <v>13</v>
      </c>
      <c r="F24" s="17" t="s">
        <v>13</v>
      </c>
      <c r="G24" s="17">
        <v>8</v>
      </c>
      <c r="H24" s="17">
        <v>8</v>
      </c>
      <c r="I24" s="17">
        <v>8</v>
      </c>
      <c r="J24" s="17">
        <v>8</v>
      </c>
      <c r="K24" s="18"/>
      <c r="L24" s="17">
        <v>8</v>
      </c>
      <c r="M24" s="11">
        <v>8</v>
      </c>
      <c r="N24" s="11">
        <v>8</v>
      </c>
      <c r="O24" s="11">
        <v>8</v>
      </c>
      <c r="P24" s="11">
        <v>8</v>
      </c>
      <c r="Q24" s="53"/>
      <c r="R24" s="54"/>
      <c r="S24" s="54"/>
      <c r="T24" s="54"/>
      <c r="U24" s="55"/>
      <c r="V24" s="11">
        <v>9</v>
      </c>
      <c r="W24" s="11">
        <v>9</v>
      </c>
      <c r="X24" s="11">
        <v>9</v>
      </c>
      <c r="Y24" s="18"/>
      <c r="Z24" s="17">
        <v>9</v>
      </c>
      <c r="AA24" s="10" t="s">
        <v>13</v>
      </c>
      <c r="AB24" s="17" t="s">
        <v>13</v>
      </c>
      <c r="AC24" s="12" t="s">
        <v>13</v>
      </c>
      <c r="AD24" s="13">
        <f t="shared" si="0"/>
        <v>108</v>
      </c>
      <c r="AE24" s="14">
        <v>48</v>
      </c>
      <c r="AF24" s="15">
        <f t="shared" si="1"/>
        <v>5184</v>
      </c>
    </row>
    <row r="25" spans="1:32" s="1" customFormat="1" ht="36.6" x14ac:dyDescent="0.7">
      <c r="A25" s="6">
        <v>19</v>
      </c>
      <c r="B25" s="7">
        <v>2590963928</v>
      </c>
      <c r="C25" s="7" t="s">
        <v>34</v>
      </c>
      <c r="D25" s="7" t="s">
        <v>17</v>
      </c>
      <c r="E25" s="16" t="s">
        <v>13</v>
      </c>
      <c r="F25" s="17" t="s">
        <v>13</v>
      </c>
      <c r="G25" s="17">
        <v>8</v>
      </c>
      <c r="H25" s="17">
        <v>8</v>
      </c>
      <c r="I25" s="17">
        <v>8</v>
      </c>
      <c r="J25" s="17" t="s">
        <v>13</v>
      </c>
      <c r="K25" s="18"/>
      <c r="L25" s="17">
        <v>8</v>
      </c>
      <c r="M25" s="11">
        <v>8</v>
      </c>
      <c r="N25" s="11">
        <v>8</v>
      </c>
      <c r="O25" s="11">
        <v>8</v>
      </c>
      <c r="P25" s="11">
        <v>8</v>
      </c>
      <c r="Q25" s="53"/>
      <c r="R25" s="54"/>
      <c r="S25" s="54"/>
      <c r="T25" s="54"/>
      <c r="U25" s="55"/>
      <c r="V25" s="11">
        <v>9</v>
      </c>
      <c r="W25" s="11">
        <v>9</v>
      </c>
      <c r="X25" s="11">
        <v>9</v>
      </c>
      <c r="Y25" s="18"/>
      <c r="Z25" s="17">
        <v>9</v>
      </c>
      <c r="AA25" s="10" t="s">
        <v>13</v>
      </c>
      <c r="AB25" s="17" t="s">
        <v>13</v>
      </c>
      <c r="AC25" s="12" t="s">
        <v>13</v>
      </c>
      <c r="AD25" s="13">
        <f t="shared" si="0"/>
        <v>100</v>
      </c>
      <c r="AE25" s="14">
        <v>48</v>
      </c>
      <c r="AF25" s="15">
        <f t="shared" si="1"/>
        <v>4800</v>
      </c>
    </row>
    <row r="26" spans="1:32" s="1" customFormat="1" ht="36.6" x14ac:dyDescent="0.7">
      <c r="A26" s="6">
        <v>20</v>
      </c>
      <c r="B26" s="7">
        <v>2591185206</v>
      </c>
      <c r="C26" s="7" t="s">
        <v>35</v>
      </c>
      <c r="D26" s="7" t="s">
        <v>17</v>
      </c>
      <c r="E26" s="16" t="s">
        <v>13</v>
      </c>
      <c r="F26" s="17" t="s">
        <v>13</v>
      </c>
      <c r="G26" s="17">
        <v>8</v>
      </c>
      <c r="H26" s="17">
        <v>8</v>
      </c>
      <c r="I26" s="17">
        <v>8</v>
      </c>
      <c r="J26" s="17" t="s">
        <v>13</v>
      </c>
      <c r="K26" s="18"/>
      <c r="L26" s="17">
        <v>8</v>
      </c>
      <c r="M26" s="11">
        <v>8</v>
      </c>
      <c r="N26" s="11">
        <v>8</v>
      </c>
      <c r="O26" s="11">
        <v>8</v>
      </c>
      <c r="P26" s="11" t="s">
        <v>13</v>
      </c>
      <c r="Q26" s="53"/>
      <c r="R26" s="54"/>
      <c r="S26" s="54"/>
      <c r="T26" s="54"/>
      <c r="U26" s="55"/>
      <c r="V26" s="17" t="s">
        <v>13</v>
      </c>
      <c r="W26" s="17" t="s">
        <v>13</v>
      </c>
      <c r="X26" s="17" t="s">
        <v>13</v>
      </c>
      <c r="Y26" s="18"/>
      <c r="Z26" s="17" t="s">
        <v>13</v>
      </c>
      <c r="AA26" s="10" t="s">
        <v>13</v>
      </c>
      <c r="AB26" s="17" t="s">
        <v>13</v>
      </c>
      <c r="AC26" s="12" t="s">
        <v>13</v>
      </c>
      <c r="AD26" s="13">
        <f t="shared" si="0"/>
        <v>56</v>
      </c>
      <c r="AE26" s="14">
        <v>48</v>
      </c>
      <c r="AF26" s="15">
        <f t="shared" si="1"/>
        <v>2688</v>
      </c>
    </row>
    <row r="27" spans="1:32" ht="36.6" x14ac:dyDescent="0.7">
      <c r="A27" s="6">
        <v>21</v>
      </c>
      <c r="B27" s="7">
        <v>2593277136</v>
      </c>
      <c r="C27" s="7" t="s">
        <v>36</v>
      </c>
      <c r="D27" s="7" t="s">
        <v>17</v>
      </c>
      <c r="E27" s="16" t="s">
        <v>13</v>
      </c>
      <c r="F27" s="17" t="s">
        <v>13</v>
      </c>
      <c r="G27" s="17" t="s">
        <v>13</v>
      </c>
      <c r="H27" s="17">
        <v>8</v>
      </c>
      <c r="I27" s="17" t="s">
        <v>13</v>
      </c>
      <c r="J27" s="17">
        <v>8</v>
      </c>
      <c r="K27" s="18"/>
      <c r="L27" s="17" t="s">
        <v>13</v>
      </c>
      <c r="M27" s="17" t="s">
        <v>13</v>
      </c>
      <c r="N27" s="17" t="s">
        <v>13</v>
      </c>
      <c r="O27" s="11" t="s">
        <v>13</v>
      </c>
      <c r="P27" s="11" t="s">
        <v>13</v>
      </c>
      <c r="Q27" s="53"/>
      <c r="R27" s="54"/>
      <c r="S27" s="54"/>
      <c r="T27" s="54"/>
      <c r="U27" s="55"/>
      <c r="V27" s="17" t="s">
        <v>13</v>
      </c>
      <c r="W27" s="17" t="s">
        <v>13</v>
      </c>
      <c r="X27" s="17" t="s">
        <v>13</v>
      </c>
      <c r="Y27" s="18"/>
      <c r="Z27" s="17" t="s">
        <v>13</v>
      </c>
      <c r="AA27" s="10" t="s">
        <v>13</v>
      </c>
      <c r="AB27" s="17" t="s">
        <v>13</v>
      </c>
      <c r="AC27" s="12" t="s">
        <v>13</v>
      </c>
      <c r="AD27" s="13">
        <f t="shared" si="0"/>
        <v>16</v>
      </c>
      <c r="AE27" s="14">
        <v>48</v>
      </c>
      <c r="AF27" s="15">
        <f t="shared" si="1"/>
        <v>768</v>
      </c>
    </row>
    <row r="28" spans="1:32" ht="36.6" x14ac:dyDescent="0.7">
      <c r="A28" s="6">
        <v>22</v>
      </c>
      <c r="B28" s="7">
        <v>2596709986</v>
      </c>
      <c r="C28" s="7" t="s">
        <v>37</v>
      </c>
      <c r="D28" s="7" t="s">
        <v>17</v>
      </c>
      <c r="E28" s="16" t="s">
        <v>13</v>
      </c>
      <c r="F28" s="17" t="s">
        <v>13</v>
      </c>
      <c r="G28" s="17" t="s">
        <v>13</v>
      </c>
      <c r="H28" s="17" t="s">
        <v>13</v>
      </c>
      <c r="I28" s="17" t="s">
        <v>13</v>
      </c>
      <c r="J28" s="17">
        <v>8</v>
      </c>
      <c r="K28" s="18"/>
      <c r="L28" s="17" t="s">
        <v>13</v>
      </c>
      <c r="M28" s="17">
        <v>8</v>
      </c>
      <c r="N28" s="17">
        <v>8</v>
      </c>
      <c r="O28" s="11">
        <v>8</v>
      </c>
      <c r="P28" s="11">
        <v>8</v>
      </c>
      <c r="Q28" s="53"/>
      <c r="R28" s="54"/>
      <c r="S28" s="54"/>
      <c r="T28" s="54"/>
      <c r="U28" s="55"/>
      <c r="V28" s="17">
        <v>9</v>
      </c>
      <c r="W28" s="17">
        <v>9</v>
      </c>
      <c r="X28" s="17">
        <v>9</v>
      </c>
      <c r="Y28" s="18"/>
      <c r="Z28" s="17">
        <v>9</v>
      </c>
      <c r="AA28" s="10" t="s">
        <v>13</v>
      </c>
      <c r="AB28" s="17" t="s">
        <v>13</v>
      </c>
      <c r="AC28" s="12" t="s">
        <v>13</v>
      </c>
      <c r="AD28" s="13">
        <f>SUM(E28:AC28)</f>
        <v>76</v>
      </c>
      <c r="AE28" s="14">
        <v>48</v>
      </c>
      <c r="AF28" s="15">
        <f t="shared" si="1"/>
        <v>3648</v>
      </c>
    </row>
    <row r="29" spans="1:32" ht="37.200000000000003" thickBot="1" x14ac:dyDescent="0.75">
      <c r="A29" s="6">
        <v>23</v>
      </c>
      <c r="B29" s="20">
        <v>2591178583</v>
      </c>
      <c r="C29" s="20" t="s">
        <v>38</v>
      </c>
      <c r="D29" s="20" t="s">
        <v>17</v>
      </c>
      <c r="E29" s="21" t="s">
        <v>13</v>
      </c>
      <c r="F29" s="22" t="s">
        <v>13</v>
      </c>
      <c r="G29" s="22" t="s">
        <v>13</v>
      </c>
      <c r="H29" s="22" t="s">
        <v>13</v>
      </c>
      <c r="I29" s="22" t="s">
        <v>13</v>
      </c>
      <c r="J29" s="22">
        <v>8</v>
      </c>
      <c r="K29" s="23"/>
      <c r="L29" s="22" t="s">
        <v>13</v>
      </c>
      <c r="M29" s="22" t="s">
        <v>13</v>
      </c>
      <c r="N29" s="22" t="s">
        <v>13</v>
      </c>
      <c r="O29" s="24" t="s">
        <v>13</v>
      </c>
      <c r="P29" s="22" t="s">
        <v>13</v>
      </c>
      <c r="Q29" s="56"/>
      <c r="R29" s="57"/>
      <c r="S29" s="57"/>
      <c r="T29" s="57"/>
      <c r="U29" s="58"/>
      <c r="V29" s="22" t="s">
        <v>13</v>
      </c>
      <c r="W29" s="22" t="s">
        <v>13</v>
      </c>
      <c r="X29" s="22">
        <v>9</v>
      </c>
      <c r="Y29" s="23"/>
      <c r="Z29" s="22">
        <v>9</v>
      </c>
      <c r="AA29" s="10" t="s">
        <v>13</v>
      </c>
      <c r="AB29" s="25" t="s">
        <v>13</v>
      </c>
      <c r="AC29" s="12" t="s">
        <v>13</v>
      </c>
      <c r="AD29" s="13">
        <f t="shared" si="0"/>
        <v>26</v>
      </c>
      <c r="AE29" s="14">
        <v>48</v>
      </c>
      <c r="AF29" s="15">
        <f t="shared" si="1"/>
        <v>1248</v>
      </c>
    </row>
    <row r="30" spans="1:32" ht="36.6" x14ac:dyDescent="0.7">
      <c r="A30" s="6">
        <v>24</v>
      </c>
      <c r="B30" s="7">
        <v>2601891920</v>
      </c>
      <c r="C30" s="7" t="s">
        <v>40</v>
      </c>
      <c r="D30" s="20" t="s">
        <v>17</v>
      </c>
      <c r="E30" s="41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3"/>
      <c r="AB30" s="13">
        <v>9</v>
      </c>
      <c r="AC30" s="12" t="s">
        <v>13</v>
      </c>
      <c r="AD30" s="13">
        <f t="shared" si="0"/>
        <v>9</v>
      </c>
      <c r="AE30" s="14">
        <v>48</v>
      </c>
      <c r="AF30" s="15">
        <f t="shared" si="1"/>
        <v>432</v>
      </c>
    </row>
    <row r="31" spans="1:32" ht="36.6" x14ac:dyDescent="0.7">
      <c r="A31" s="6">
        <v>25</v>
      </c>
      <c r="B31" s="7">
        <v>2531452734</v>
      </c>
      <c r="C31" s="7" t="s">
        <v>41</v>
      </c>
      <c r="D31" s="20" t="s">
        <v>17</v>
      </c>
      <c r="E31" s="41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3"/>
      <c r="AB31" s="13">
        <v>9</v>
      </c>
      <c r="AC31" s="12" t="s">
        <v>13</v>
      </c>
      <c r="AD31" s="13">
        <f t="shared" si="0"/>
        <v>9</v>
      </c>
      <c r="AE31" s="14">
        <v>48</v>
      </c>
      <c r="AF31" s="15">
        <f t="shared" si="1"/>
        <v>432</v>
      </c>
    </row>
    <row r="32" spans="1:32" ht="36.6" x14ac:dyDescent="0.7">
      <c r="A32" s="6">
        <v>26</v>
      </c>
      <c r="B32" s="7">
        <v>2436321257</v>
      </c>
      <c r="C32" s="7" t="s">
        <v>42</v>
      </c>
      <c r="D32" s="20" t="s">
        <v>17</v>
      </c>
      <c r="E32" s="41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3"/>
      <c r="AB32" s="13">
        <v>9</v>
      </c>
      <c r="AC32" s="12" t="s">
        <v>13</v>
      </c>
      <c r="AD32" s="13">
        <f t="shared" si="0"/>
        <v>9</v>
      </c>
      <c r="AE32" s="14">
        <v>48</v>
      </c>
      <c r="AF32" s="15">
        <f t="shared" si="1"/>
        <v>432</v>
      </c>
    </row>
    <row r="33" spans="1:32" ht="36.6" x14ac:dyDescent="0.7">
      <c r="A33" s="6">
        <v>27</v>
      </c>
      <c r="B33" s="7">
        <v>2604822581</v>
      </c>
      <c r="C33" s="7" t="s">
        <v>43</v>
      </c>
      <c r="D33" s="20" t="s">
        <v>17</v>
      </c>
      <c r="E33" s="41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3"/>
      <c r="AB33" s="13">
        <v>9</v>
      </c>
      <c r="AC33" s="12" t="s">
        <v>13</v>
      </c>
      <c r="AD33" s="13">
        <f t="shared" si="0"/>
        <v>9</v>
      </c>
      <c r="AE33" s="14">
        <v>48</v>
      </c>
      <c r="AF33" s="15">
        <f t="shared" si="1"/>
        <v>432</v>
      </c>
    </row>
    <row r="34" spans="1:32" ht="37.200000000000003" thickBot="1" x14ac:dyDescent="0.75">
      <c r="A34" s="6">
        <v>28</v>
      </c>
      <c r="B34" s="26">
        <v>2537345585</v>
      </c>
      <c r="C34" s="26" t="s">
        <v>44</v>
      </c>
      <c r="D34" s="26" t="s">
        <v>17</v>
      </c>
      <c r="E34" s="44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6"/>
      <c r="AB34" s="27">
        <v>9</v>
      </c>
      <c r="AC34" s="28" t="s">
        <v>13</v>
      </c>
      <c r="AD34" s="13">
        <f>SUM(E34:AC34)</f>
        <v>9</v>
      </c>
      <c r="AE34" s="14">
        <v>48</v>
      </c>
      <c r="AF34" s="15">
        <f t="shared" si="1"/>
        <v>432</v>
      </c>
    </row>
    <row r="35" spans="1:32" ht="37.799999999999997" thickTop="1" thickBot="1" x14ac:dyDescent="0.75">
      <c r="A35" s="29"/>
      <c r="B35" s="29"/>
      <c r="C35" s="29"/>
      <c r="D35" s="29"/>
      <c r="E35" s="29"/>
      <c r="F35" s="38" t="s">
        <v>46</v>
      </c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29"/>
      <c r="AA35" s="29"/>
      <c r="AB35" s="48" t="s">
        <v>45</v>
      </c>
      <c r="AC35" s="49"/>
      <c r="AD35" s="30">
        <f>SUM(AD7:AD34)</f>
        <v>2360</v>
      </c>
      <c r="AE35" s="31"/>
      <c r="AF35" s="15">
        <f>SUM(AF7:AF34)</f>
        <v>114344</v>
      </c>
    </row>
    <row r="36" spans="1:32" ht="36.6" x14ac:dyDescent="0.7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</row>
    <row r="37" spans="1:32" ht="31.8" customHeight="1" x14ac:dyDescent="0.7">
      <c r="A37" s="29"/>
      <c r="B37" s="29"/>
      <c r="C37" s="29"/>
      <c r="D37" s="29"/>
      <c r="E37" s="39" t="s">
        <v>47</v>
      </c>
      <c r="F37" s="39"/>
      <c r="G37" s="39"/>
      <c r="H37" s="39"/>
      <c r="I37" s="39"/>
      <c r="J37" s="39"/>
      <c r="K37" s="29"/>
      <c r="L37" s="29"/>
      <c r="M37" s="29"/>
      <c r="N37" s="29"/>
      <c r="O37" s="29"/>
      <c r="P37" s="29"/>
      <c r="Q37" s="29"/>
      <c r="R37" s="29"/>
      <c r="S37" s="29"/>
      <c r="T37" s="39" t="s">
        <v>48</v>
      </c>
      <c r="U37" s="39"/>
      <c r="V37" s="39"/>
      <c r="W37" s="39"/>
      <c r="X37" s="39"/>
      <c r="Y37" s="39"/>
      <c r="Z37" s="39"/>
      <c r="AA37" s="29"/>
      <c r="AB37" s="29"/>
      <c r="AC37" s="29"/>
      <c r="AD37" s="29"/>
      <c r="AE37" s="29"/>
      <c r="AF37" s="29"/>
    </row>
    <row r="38" spans="1:32" ht="14.4" customHeight="1" x14ac:dyDescent="0.7">
      <c r="A38" s="29"/>
      <c r="B38" s="29"/>
      <c r="C38" s="29"/>
      <c r="D38" s="29"/>
      <c r="E38" s="39"/>
      <c r="F38" s="39"/>
      <c r="G38" s="39"/>
      <c r="H38" s="39"/>
      <c r="I38" s="39"/>
      <c r="J38" s="39"/>
      <c r="K38" s="29"/>
      <c r="L38" s="29"/>
      <c r="M38" s="29"/>
      <c r="N38" s="29"/>
      <c r="O38" s="29"/>
      <c r="P38" s="29"/>
      <c r="Q38" s="29"/>
      <c r="R38" s="29"/>
      <c r="S38" s="29"/>
      <c r="T38" s="39"/>
      <c r="U38" s="39"/>
      <c r="V38" s="39"/>
      <c r="W38" s="39"/>
      <c r="X38" s="39"/>
      <c r="Y38" s="39"/>
      <c r="Z38" s="39"/>
      <c r="AA38" s="29"/>
      <c r="AB38" s="29"/>
      <c r="AC38" s="29"/>
      <c r="AD38" s="29"/>
      <c r="AE38" s="29"/>
      <c r="AF38" s="29"/>
    </row>
    <row r="39" spans="1:32" ht="14.4" customHeight="1" x14ac:dyDescent="0.7">
      <c r="A39" s="29"/>
      <c r="B39" s="29"/>
      <c r="C39" s="29"/>
      <c r="D39" s="29"/>
      <c r="E39" s="39"/>
      <c r="F39" s="39"/>
      <c r="G39" s="39"/>
      <c r="H39" s="39"/>
      <c r="I39" s="39"/>
      <c r="J39" s="39"/>
      <c r="K39" s="29"/>
      <c r="L39" s="29"/>
      <c r="M39" s="29"/>
      <c r="N39" s="29"/>
      <c r="O39" s="29"/>
      <c r="P39" s="29"/>
      <c r="Q39" s="29"/>
      <c r="R39" s="29"/>
      <c r="S39" s="29"/>
      <c r="T39" s="39"/>
      <c r="U39" s="39"/>
      <c r="V39" s="39"/>
      <c r="W39" s="39"/>
      <c r="X39" s="39"/>
      <c r="Y39" s="39"/>
      <c r="Z39" s="39"/>
      <c r="AA39" s="29"/>
      <c r="AB39" s="29"/>
      <c r="AC39" s="29"/>
      <c r="AD39" s="29"/>
      <c r="AE39" s="29"/>
      <c r="AF39" s="29"/>
    </row>
    <row r="40" spans="1:32" ht="14.4" customHeight="1" x14ac:dyDescent="0.7">
      <c r="A40" s="29"/>
      <c r="B40" s="29"/>
      <c r="C40" s="29"/>
      <c r="D40" s="29"/>
      <c r="E40" s="39"/>
      <c r="F40" s="39"/>
      <c r="G40" s="39"/>
      <c r="H40" s="39"/>
      <c r="I40" s="39"/>
      <c r="J40" s="39"/>
      <c r="K40" s="29"/>
      <c r="L40" s="29"/>
      <c r="M40" s="29"/>
      <c r="N40" s="29"/>
      <c r="O40" s="29"/>
      <c r="P40" s="29"/>
      <c r="Q40" s="29"/>
      <c r="R40" s="29"/>
      <c r="S40" s="29"/>
      <c r="T40" s="39"/>
      <c r="U40" s="39"/>
      <c r="V40" s="39"/>
      <c r="W40" s="39"/>
      <c r="X40" s="39"/>
      <c r="Y40" s="39"/>
      <c r="Z40" s="39"/>
      <c r="AA40" s="29"/>
      <c r="AB40" s="29"/>
      <c r="AC40" s="29"/>
      <c r="AD40" s="29"/>
      <c r="AE40" s="29"/>
      <c r="AF40" s="29"/>
    </row>
    <row r="41" spans="1:32" ht="36.6" x14ac:dyDescent="0.7">
      <c r="A41" s="29"/>
      <c r="B41" s="29"/>
      <c r="C41" s="29"/>
      <c r="D41" s="29"/>
      <c r="E41" s="39"/>
      <c r="F41" s="39"/>
      <c r="G41" s="39"/>
      <c r="H41" s="39"/>
      <c r="I41" s="39"/>
      <c r="J41" s="39"/>
      <c r="K41" s="29"/>
      <c r="L41" s="29"/>
      <c r="M41" s="29"/>
      <c r="N41" s="29"/>
      <c r="O41" s="29"/>
      <c r="P41" s="29"/>
      <c r="Q41" s="29"/>
      <c r="R41" s="29"/>
      <c r="S41" s="29"/>
      <c r="T41" s="39"/>
      <c r="U41" s="39"/>
      <c r="V41" s="39"/>
      <c r="W41" s="39"/>
      <c r="X41" s="39"/>
      <c r="Y41" s="39"/>
      <c r="Z41" s="39"/>
      <c r="AA41" s="29"/>
      <c r="AB41" s="29"/>
      <c r="AC41" s="29"/>
      <c r="AD41" s="29"/>
      <c r="AE41" s="29"/>
      <c r="AF41" s="29"/>
    </row>
    <row r="42" spans="1:32" ht="36.6" x14ac:dyDescent="0.7">
      <c r="A42" s="29"/>
      <c r="B42" s="29"/>
      <c r="C42" s="29"/>
      <c r="D42" s="29"/>
      <c r="E42" s="39"/>
      <c r="F42" s="39"/>
      <c r="G42" s="39"/>
      <c r="H42" s="39"/>
      <c r="I42" s="39"/>
      <c r="J42" s="39"/>
      <c r="K42" s="29"/>
      <c r="L42" s="29"/>
      <c r="M42" s="29"/>
      <c r="N42" s="29"/>
      <c r="O42" s="29"/>
      <c r="P42" s="29"/>
      <c r="Q42" s="29"/>
      <c r="R42" s="29"/>
      <c r="S42" s="29"/>
      <c r="T42" s="39"/>
      <c r="U42" s="39"/>
      <c r="V42" s="39"/>
      <c r="W42" s="39"/>
      <c r="X42" s="39"/>
      <c r="Y42" s="39"/>
      <c r="Z42" s="39"/>
      <c r="AA42" s="29"/>
      <c r="AB42" s="29"/>
      <c r="AC42" s="29"/>
      <c r="AD42" s="29"/>
      <c r="AE42" s="29"/>
      <c r="AF42" s="29"/>
    </row>
    <row r="43" spans="1:32" ht="36.6" x14ac:dyDescent="0.7">
      <c r="A43" s="29"/>
      <c r="B43" s="29"/>
      <c r="C43" s="29"/>
      <c r="D43" s="29"/>
      <c r="E43" s="39"/>
      <c r="F43" s="39"/>
      <c r="G43" s="39"/>
      <c r="H43" s="39"/>
      <c r="I43" s="39"/>
      <c r="J43" s="39"/>
      <c r="K43" s="29"/>
      <c r="L43" s="29"/>
      <c r="M43" s="29"/>
      <c r="N43" s="29"/>
      <c r="O43" s="29"/>
      <c r="P43" s="29"/>
      <c r="Q43" s="29"/>
      <c r="R43" s="29"/>
      <c r="S43" s="29"/>
      <c r="T43" s="39"/>
      <c r="U43" s="39"/>
      <c r="V43" s="39"/>
      <c r="W43" s="39"/>
      <c r="X43" s="39"/>
      <c r="Y43" s="39"/>
      <c r="Z43" s="39"/>
      <c r="AA43" s="29"/>
      <c r="AB43" s="29"/>
      <c r="AC43" s="29"/>
      <c r="AD43" s="29"/>
      <c r="AE43" s="29"/>
      <c r="AF43" s="29"/>
    </row>
  </sheetData>
  <mergeCells count="15">
    <mergeCell ref="F35:Y35"/>
    <mergeCell ref="E37:J43"/>
    <mergeCell ref="T37:Z43"/>
    <mergeCell ref="A1:XFD1"/>
    <mergeCell ref="E30:AA34"/>
    <mergeCell ref="AE5:AE6"/>
    <mergeCell ref="AF5:AF6"/>
    <mergeCell ref="AB35:AC35"/>
    <mergeCell ref="Q7:U29"/>
    <mergeCell ref="A2:D4"/>
    <mergeCell ref="E2:AD4"/>
    <mergeCell ref="A5:A6"/>
    <mergeCell ref="B5:B6"/>
    <mergeCell ref="C5:C6"/>
    <mergeCell ref="D5:D6"/>
  </mergeCells>
  <phoneticPr fontId="2" type="noConversion"/>
  <conditionalFormatting sqref="E8:P29 E7:Q7 V7:X29 AB30:AB33 Z7:AC7 AC8:AC34 E30 Z8:AB29">
    <cfRule type="containsText" dxfId="2" priority="5" operator="containsText" text="A">
      <formula>NOT(ISERROR(SEARCH("A",E7)))</formula>
    </cfRule>
  </conditionalFormatting>
  <conditionalFormatting sqref="Y8:Y29">
    <cfRule type="containsText" dxfId="1" priority="4" operator="containsText" text="A">
      <formula>NOT(ISERROR(SEARCH("A",Y8)))</formula>
    </cfRule>
  </conditionalFormatting>
  <conditionalFormatting sqref="AB34">
    <cfRule type="containsText" dxfId="0" priority="3" operator="containsText" text="A">
      <formula>NOT(ISERROR(SEARCH("A",AB34)))</formula>
    </cfRule>
  </conditionalFormatting>
  <pageMargins left="0.25" right="0.25" top="0.75" bottom="0.75" header="0.3" footer="0.3"/>
  <pageSetup paperSize="9" scale="30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cp:lastPrinted>2026-04-12T06:51:39Z</cp:lastPrinted>
  <dcterms:created xsi:type="dcterms:W3CDTF">2026-03-14T14:55:57Z</dcterms:created>
  <dcterms:modified xsi:type="dcterms:W3CDTF">2026-04-12T06:51:52Z</dcterms:modified>
</cp:coreProperties>
</file>