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"/>
    </mc:Choice>
  </mc:AlternateContent>
  <xr:revisionPtr revIDLastSave="0" documentId="13_ncr:1_{E8D013B5-8F2A-427E-A8D2-CC583B8874C1}" xr6:coauthVersionLast="47" xr6:coauthVersionMax="47" xr10:uidLastSave="{00000000-0000-0000-0000-000000000000}"/>
  <bookViews>
    <workbookView xWindow="28680" yWindow="-120" windowWidth="29040" windowHeight="15720" activeTab="2" xr2:uid="{8FD45DB4-95CE-4F57-AA9A-81952F33C899}"/>
  </bookViews>
  <sheets>
    <sheet name="JAN_VILLA" sheetId="1" r:id="rId1"/>
    <sheet name="FEB_VILLA " sheetId="3" r:id="rId2"/>
    <sheet name="MAR_VILLA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9" i="4" l="1"/>
  <c r="AK19" i="4"/>
  <c r="AL24" i="3"/>
  <c r="AH24" i="3"/>
  <c r="AO25" i="1"/>
  <c r="AK25" i="1"/>
  <c r="AN7" i="1"/>
  <c r="AO7" i="1" s="1"/>
  <c r="AN8" i="1"/>
  <c r="AO8" i="1" s="1"/>
  <c r="AN9" i="1"/>
  <c r="AO9" i="1" s="1"/>
  <c r="AN10" i="1"/>
  <c r="AO10" i="1" s="1"/>
  <c r="AN11" i="1"/>
  <c r="AN12" i="1"/>
  <c r="AN13" i="1"/>
  <c r="AN14" i="1"/>
  <c r="AN15" i="1"/>
  <c r="AN16" i="1"/>
  <c r="AO16" i="1" s="1"/>
  <c r="AN17" i="1"/>
  <c r="AO17" i="1" s="1"/>
  <c r="AN18" i="1"/>
  <c r="AO18" i="1" s="1"/>
  <c r="AN19" i="1"/>
  <c r="AO19" i="1" s="1"/>
  <c r="AN20" i="1"/>
  <c r="AN21" i="1"/>
  <c r="AN22" i="1"/>
  <c r="AN23" i="1"/>
  <c r="AN24" i="1"/>
  <c r="AO24" i="1" s="1"/>
  <c r="AN6" i="1"/>
  <c r="AO23" i="1"/>
  <c r="AO22" i="1"/>
  <c r="AO21" i="1"/>
  <c r="AO20" i="1"/>
  <c r="AO15" i="1"/>
  <c r="AO14" i="1"/>
  <c r="AO13" i="1"/>
  <c r="AO12" i="1"/>
  <c r="AO11" i="1"/>
  <c r="AO6" i="1"/>
  <c r="AK7" i="4" l="1"/>
  <c r="AN7" i="4" s="1"/>
  <c r="AO7" i="4" s="1"/>
  <c r="AK8" i="4"/>
  <c r="AN8" i="4" s="1"/>
  <c r="AO8" i="4" s="1"/>
  <c r="AK9" i="4"/>
  <c r="AN9" i="4" s="1"/>
  <c r="AO9" i="4" s="1"/>
  <c r="AK10" i="4"/>
  <c r="AN10" i="4" s="1"/>
  <c r="AO10" i="4" s="1"/>
  <c r="AK11" i="4"/>
  <c r="AN11" i="4" s="1"/>
  <c r="AO11" i="4" s="1"/>
  <c r="AK12" i="4"/>
  <c r="AN12" i="4" s="1"/>
  <c r="AO12" i="4" s="1"/>
  <c r="AK13" i="4"/>
  <c r="AN13" i="4" s="1"/>
  <c r="AO13" i="4" s="1"/>
  <c r="AK14" i="4"/>
  <c r="AN14" i="4" s="1"/>
  <c r="AO14" i="4" s="1"/>
  <c r="AK15" i="4"/>
  <c r="AN15" i="4" s="1"/>
  <c r="AO15" i="4" s="1"/>
  <c r="AK16" i="4"/>
  <c r="AN16" i="4" s="1"/>
  <c r="AO16" i="4" s="1"/>
  <c r="AK17" i="4"/>
  <c r="AN17" i="4" s="1"/>
  <c r="AO17" i="4" s="1"/>
  <c r="AK18" i="4"/>
  <c r="AN18" i="4" s="1"/>
  <c r="AO18" i="4" s="1"/>
  <c r="AK6" i="4"/>
  <c r="AN6" i="4" s="1"/>
  <c r="AO6" i="4" s="1"/>
  <c r="AH23" i="3"/>
  <c r="AK23" i="3" s="1"/>
  <c r="AL23" i="3" s="1"/>
  <c r="AH22" i="3"/>
  <c r="AK22" i="3" s="1"/>
  <c r="AL22" i="3" s="1"/>
  <c r="AH21" i="3"/>
  <c r="AK21" i="3" s="1"/>
  <c r="AL21" i="3" s="1"/>
  <c r="AH20" i="3"/>
  <c r="AK20" i="3" s="1"/>
  <c r="AL20" i="3" s="1"/>
  <c r="AH19" i="3"/>
  <c r="AK19" i="3" s="1"/>
  <c r="AL19" i="3" s="1"/>
  <c r="AH18" i="3"/>
  <c r="AK18" i="3" s="1"/>
  <c r="AL18" i="3" s="1"/>
  <c r="AH17" i="3"/>
  <c r="AK17" i="3" s="1"/>
  <c r="AL17" i="3" s="1"/>
  <c r="AH16" i="3"/>
  <c r="AK16" i="3" s="1"/>
  <c r="AL16" i="3" s="1"/>
  <c r="AH15" i="3"/>
  <c r="AK15" i="3" s="1"/>
  <c r="AL15" i="3" s="1"/>
  <c r="AH14" i="3"/>
  <c r="AK14" i="3" s="1"/>
  <c r="AL14" i="3" s="1"/>
  <c r="AH13" i="3"/>
  <c r="AK13" i="3" s="1"/>
  <c r="AL13" i="3" s="1"/>
  <c r="AH12" i="3"/>
  <c r="AK12" i="3" s="1"/>
  <c r="AL12" i="3" s="1"/>
  <c r="AH11" i="3"/>
  <c r="AK11" i="3" s="1"/>
  <c r="AL11" i="3" s="1"/>
  <c r="AH10" i="3"/>
  <c r="AK10" i="3" s="1"/>
  <c r="AL10" i="3" s="1"/>
  <c r="AH9" i="3"/>
  <c r="AK9" i="3" s="1"/>
  <c r="AL9" i="3" s="1"/>
  <c r="AH8" i="3"/>
  <c r="AK8" i="3" s="1"/>
  <c r="AL8" i="3" s="1"/>
  <c r="AH7" i="3"/>
  <c r="AK7" i="3" s="1"/>
  <c r="AL7" i="3" s="1"/>
  <c r="AH6" i="3"/>
  <c r="AK6" i="3" s="1"/>
  <c r="AL6" i="3" s="1"/>
  <c r="AK7" i="1"/>
  <c r="AK8" i="1"/>
  <c r="AK9" i="1"/>
  <c r="AK10" i="1"/>
  <c r="AK11" i="1"/>
  <c r="AK12" i="1"/>
  <c r="AK20" i="1"/>
  <c r="AK21" i="1"/>
  <c r="AK22" i="1"/>
  <c r="AK23" i="1"/>
  <c r="AK24" i="1"/>
  <c r="AK13" i="1"/>
  <c r="AK14" i="1"/>
  <c r="AK15" i="1"/>
  <c r="AK16" i="1"/>
  <c r="AK17" i="1"/>
  <c r="AK18" i="1"/>
  <c r="AK19" i="1"/>
  <c r="AK6" i="1"/>
</calcChain>
</file>

<file path=xl/sharedStrings.xml><?xml version="1.0" encoding="utf-8"?>
<sst xmlns="http://schemas.openxmlformats.org/spreadsheetml/2006/main" count="1508" uniqueCount="50">
  <si>
    <t>A</t>
  </si>
  <si>
    <t>Sat</t>
  </si>
  <si>
    <t>Fri</t>
  </si>
  <si>
    <t>Thu</t>
  </si>
  <si>
    <t>Wed</t>
  </si>
  <si>
    <t>Tue</t>
  </si>
  <si>
    <t>Mon</t>
  </si>
  <si>
    <t>Sun</t>
  </si>
  <si>
    <t>Thur</t>
  </si>
  <si>
    <t>Employee Name</t>
  </si>
  <si>
    <t>Employee ID</t>
  </si>
  <si>
    <t>S.No</t>
  </si>
  <si>
    <t>Company</t>
  </si>
  <si>
    <t>Saudi icon</t>
  </si>
  <si>
    <t>P</t>
  </si>
  <si>
    <t>Total Days</t>
  </si>
  <si>
    <t>Mohd Irshad</t>
  </si>
  <si>
    <t>Mohammad Yusuf</t>
  </si>
  <si>
    <t>Afak Ahmad</t>
  </si>
  <si>
    <t>Felix Partorpile</t>
  </si>
  <si>
    <t>Greendel Tagalog</t>
  </si>
  <si>
    <t>Saroj Kumar Shrama</t>
  </si>
  <si>
    <t>Mukesh Kumar Banwal</t>
  </si>
  <si>
    <t>Mohammad Raees</t>
  </si>
  <si>
    <t>Muhammad Alam Hussain</t>
  </si>
  <si>
    <t>Ajam Ali</t>
  </si>
  <si>
    <t>Ali asgar</t>
  </si>
  <si>
    <t>Ashish lala mahra</t>
  </si>
  <si>
    <t>Swopan Hussain</t>
  </si>
  <si>
    <t>Mohammad Abdulla</t>
  </si>
  <si>
    <t>Shraoz Ali</t>
  </si>
  <si>
    <t>Alvin Bucud</t>
  </si>
  <si>
    <t>Jesus Mones</t>
  </si>
  <si>
    <t>Mohammad Sadik</t>
  </si>
  <si>
    <t>Gali Gligg</t>
  </si>
  <si>
    <t>Designation</t>
  </si>
  <si>
    <t>Arnel oliden</t>
  </si>
  <si>
    <t>CARPENTER</t>
  </si>
  <si>
    <t>POLISHER</t>
  </si>
  <si>
    <t>TIME SHEET AMALA FOUR SEASON WORK WITH ROMEO JAN 2026</t>
  </si>
  <si>
    <t>TIME SHEET AMALA FOUR SEASON WORK WITH ROMEO FEB 2026</t>
  </si>
  <si>
    <t>TIME SHEET AMALA FOUR SEASON WORK WITH ROMEO MAR 2026</t>
  </si>
  <si>
    <t>HOLIDAY</t>
  </si>
  <si>
    <t>Workers Per Day</t>
  </si>
  <si>
    <t xml:space="preserve">OT Amount </t>
  </si>
  <si>
    <t>Total Amount       (Days*Perday)</t>
  </si>
  <si>
    <t>Total Amount</t>
  </si>
  <si>
    <t>SAR 0.00</t>
  </si>
  <si>
    <t>SAR 0.01</t>
  </si>
  <si>
    <t xml:space="preserve">TOTAL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</si>
</sst>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_([$SAR]\ * #,##0.00_);_([$SAR]\ * \(#,##0.00\);_([$SAR]\ * &quot;-&quot;??_);_(@_)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7"/>
      <name val="Calibri"/>
      <family val="2"/>
    </font>
    <font>
      <b/>
      <sz val="27"/>
      <name val="Calibri"/>
      <family val="2"/>
    </font>
    <font>
      <sz val="27"/>
      <color theme="1"/>
      <name val="Calibri"/>
      <family val="2"/>
      <scheme val="minor"/>
    </font>
    <font>
      <b/>
      <sz val="27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7"/>
      <color theme="1"/>
      <name val="Calibri"/>
      <family val="2"/>
    </font>
    <font>
      <b/>
      <sz val="27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2F2F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6" fillId="0" borderId="0"/>
  </cellStyleXfs>
  <cellXfs count="58">
    <xf numFmtId="0" fontId="0" fillId="0" borderId="0" xfId="0"/>
    <xf numFmtId="0" fontId="2" fillId="0" borderId="1" xfId="0" applyFont="1" applyFill="1" applyBorder="1" applyAlignment="1">
      <alignment horizontal="center"/>
    </xf>
    <xf numFmtId="0" fontId="4" fillId="4" borderId="0" xfId="0" applyFont="1" applyFill="1"/>
    <xf numFmtId="164" fontId="3" fillId="3" borderId="3" xfId="0" applyNumberFormat="1" applyFont="1" applyFill="1" applyBorder="1" applyAlignment="1">
      <alignment horizontal="center" vertical="center" textRotation="90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4" fillId="4" borderId="0" xfId="0" applyFont="1" applyFill="1" applyAlignment="1">
      <alignment horizontal="left" vertical="center"/>
    </xf>
    <xf numFmtId="0" fontId="4" fillId="4" borderId="0" xfId="0" applyFont="1" applyFill="1"/>
    <xf numFmtId="0" fontId="5" fillId="3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9" fillId="0" borderId="8" xfId="1" applyFont="1" applyBorder="1"/>
    <xf numFmtId="0" fontId="9" fillId="0" borderId="8" xfId="1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4" fillId="4" borderId="5" xfId="0" applyFont="1" applyFill="1" applyBorder="1" applyAlignment="1"/>
    <xf numFmtId="0" fontId="11" fillId="0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wrapText="1"/>
    </xf>
    <xf numFmtId="0" fontId="9" fillId="0" borderId="11" xfId="1" applyFont="1" applyBorder="1"/>
    <xf numFmtId="0" fontId="2" fillId="4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6" xfId="0" applyFont="1" applyFill="1" applyBorder="1"/>
    <xf numFmtId="0" fontId="5" fillId="3" borderId="3" xfId="0" applyFont="1" applyFill="1" applyBorder="1" applyAlignment="1">
      <alignment horizontal="center" vertical="center"/>
    </xf>
    <xf numFmtId="0" fontId="4" fillId="4" borderId="5" xfId="0" applyFont="1" applyFill="1" applyBorder="1"/>
    <xf numFmtId="0" fontId="11" fillId="6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/>
    <xf numFmtId="0" fontId="12" fillId="7" borderId="17" xfId="0" applyFont="1" applyFill="1" applyBorder="1"/>
    <xf numFmtId="0" fontId="12" fillId="7" borderId="17" xfId="0" applyFont="1" applyFill="1" applyBorder="1" applyAlignment="1">
      <alignment horizontal="center"/>
    </xf>
    <xf numFmtId="165" fontId="12" fillId="7" borderId="18" xfId="0" applyNumberFormat="1" applyFont="1" applyFill="1" applyBorder="1"/>
    <xf numFmtId="165" fontId="12" fillId="7" borderId="19" xfId="0" applyNumberFormat="1" applyFont="1" applyFill="1" applyBorder="1"/>
    <xf numFmtId="165" fontId="12" fillId="7" borderId="20" xfId="0" applyNumberFormat="1" applyFont="1" applyFill="1" applyBorder="1"/>
    <xf numFmtId="165" fontId="12" fillId="7" borderId="17" xfId="0" applyNumberFormat="1" applyFont="1" applyFill="1" applyBorder="1"/>
    <xf numFmtId="0" fontId="4" fillId="4" borderId="0" xfId="0" applyFont="1" applyFill="1" applyAlignment="1">
      <alignment horizontal="center"/>
    </xf>
  </cellXfs>
  <cellStyles count="4">
    <cellStyle name="Normal" xfId="0" builtinId="0"/>
    <cellStyle name="Normal 2" xfId="2" xr:uid="{82838988-1E0C-453E-9D68-8E4927AB56B7}"/>
    <cellStyle name="Normal 3" xfId="1" xr:uid="{944EC62C-59AD-42D6-82BD-24750E0AE45C}"/>
    <cellStyle name="Normal 4" xfId="3" xr:uid="{1321E697-3EE3-4593-9A2C-39160799B103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55417</xdr:colOff>
      <xdr:row>0</xdr:row>
      <xdr:rowOff>216477</xdr:rowOff>
    </xdr:from>
    <xdr:to>
      <xdr:col>2</xdr:col>
      <xdr:colOff>517666</xdr:colOff>
      <xdr:row>2</xdr:row>
      <xdr:rowOff>403687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D700BD-BC42-4B05-8949-B640ADEC3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7" y="216477"/>
          <a:ext cx="3406340" cy="10626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216478</xdr:colOff>
      <xdr:row>0</xdr:row>
      <xdr:rowOff>86591</xdr:rowOff>
    </xdr:from>
    <xdr:to>
      <xdr:col>2</xdr:col>
      <xdr:colOff>1083184</xdr:colOff>
      <xdr:row>2</xdr:row>
      <xdr:rowOff>399877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0B9AB-6CDA-45E6-9E71-A3E9158E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478" y="86591"/>
          <a:ext cx="3818417" cy="1186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216478</xdr:colOff>
      <xdr:row>0</xdr:row>
      <xdr:rowOff>86591</xdr:rowOff>
    </xdr:from>
    <xdr:to>
      <xdr:col>2</xdr:col>
      <xdr:colOff>1086994</xdr:colOff>
      <xdr:row>2</xdr:row>
      <xdr:rowOff>403687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B244D-05F7-4D52-9A17-3F7CB4149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68" y="88496"/>
          <a:ext cx="3804216" cy="1187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02AD-2F45-47DB-8EE5-37EB66D6A404}">
  <sheetPr>
    <pageSetUpPr fitToPage="1"/>
  </sheetPr>
  <dimension ref="A1:BH177"/>
  <sheetViews>
    <sheetView showGridLines="0" zoomScale="44" workbookViewId="0">
      <pane xSplit="5" ySplit="4" topLeftCell="T5" activePane="bottomRight" state="frozen"/>
      <selection pane="topRight" activeCell="E1" sqref="E1"/>
      <selection pane="bottomLeft" activeCell="A5" sqref="A5"/>
      <selection pane="bottomRight" activeCell="AO6" sqref="AO6:AO24"/>
    </sheetView>
  </sheetViews>
  <sheetFormatPr defaultRowHeight="34.799999999999997" x14ac:dyDescent="0.65"/>
  <cols>
    <col min="1" max="1" width="12.44140625" style="2" bestFit="1" customWidth="1"/>
    <col min="2" max="2" width="30.21875" style="2" bestFit="1" customWidth="1"/>
    <col min="3" max="3" width="56" style="2" customWidth="1"/>
    <col min="4" max="4" width="30.6640625" style="12" customWidth="1"/>
    <col min="5" max="5" width="35.44140625" style="2" customWidth="1"/>
    <col min="6" max="13" width="12.21875" style="2" bestFit="1" customWidth="1"/>
    <col min="14" max="14" width="13.44140625" style="2" bestFit="1" customWidth="1"/>
    <col min="15" max="36" width="12.21875" style="2" bestFit="1" customWidth="1"/>
    <col min="37" max="37" width="25.44140625" style="2" bestFit="1" customWidth="1"/>
    <col min="38" max="38" width="29.44140625" style="2" bestFit="1" customWidth="1"/>
    <col min="39" max="39" width="20.6640625" style="2" bestFit="1" customWidth="1"/>
    <col min="40" max="40" width="33.5546875" style="2" bestFit="1" customWidth="1"/>
    <col min="41" max="41" width="37.109375" style="2" bestFit="1" customWidth="1"/>
    <col min="42" max="42" width="12.21875" style="2" customWidth="1"/>
    <col min="43" max="58" width="12.21875" style="2" bestFit="1" customWidth="1"/>
    <col min="59" max="59" width="22.44140625" style="2" bestFit="1" customWidth="1"/>
    <col min="60" max="16384" width="8.88671875" style="2"/>
  </cols>
  <sheetData>
    <row r="1" spans="1:41" s="12" customFormat="1" x14ac:dyDescent="0.65">
      <c r="G1" s="32" t="s">
        <v>39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41" s="12" customFormat="1" x14ac:dyDescent="0.65"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</row>
    <row r="3" spans="1:41" s="12" customFormat="1" x14ac:dyDescent="0.65"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</row>
    <row r="4" spans="1:41" ht="104.4" customHeight="1" x14ac:dyDescent="0.65">
      <c r="A4" s="35" t="s">
        <v>11</v>
      </c>
      <c r="B4" s="37" t="s">
        <v>10</v>
      </c>
      <c r="C4" s="37" t="s">
        <v>9</v>
      </c>
      <c r="D4" s="19" t="s">
        <v>35</v>
      </c>
      <c r="E4" s="37" t="s">
        <v>12</v>
      </c>
      <c r="F4" s="3">
        <v>46023</v>
      </c>
      <c r="G4" s="3">
        <v>46024</v>
      </c>
      <c r="H4" s="3">
        <v>46025</v>
      </c>
      <c r="I4" s="3">
        <v>46026</v>
      </c>
      <c r="J4" s="3">
        <v>46027</v>
      </c>
      <c r="K4" s="3">
        <v>46028</v>
      </c>
      <c r="L4" s="3">
        <v>46029</v>
      </c>
      <c r="M4" s="3">
        <v>46030</v>
      </c>
      <c r="N4" s="3">
        <v>46031</v>
      </c>
      <c r="O4" s="3">
        <v>46032</v>
      </c>
      <c r="P4" s="3">
        <v>46033</v>
      </c>
      <c r="Q4" s="3">
        <v>46034</v>
      </c>
      <c r="R4" s="3">
        <v>46035</v>
      </c>
      <c r="S4" s="3">
        <v>46036</v>
      </c>
      <c r="T4" s="3">
        <v>46037</v>
      </c>
      <c r="U4" s="3">
        <v>46038</v>
      </c>
      <c r="V4" s="3">
        <v>46039</v>
      </c>
      <c r="W4" s="3">
        <v>46040</v>
      </c>
      <c r="X4" s="3">
        <v>46041</v>
      </c>
      <c r="Y4" s="3">
        <v>46042</v>
      </c>
      <c r="Z4" s="3">
        <v>46043</v>
      </c>
      <c r="AA4" s="3">
        <v>46044</v>
      </c>
      <c r="AB4" s="3">
        <v>46045</v>
      </c>
      <c r="AC4" s="3">
        <v>46046</v>
      </c>
      <c r="AD4" s="3">
        <v>46047</v>
      </c>
      <c r="AE4" s="3">
        <v>46048</v>
      </c>
      <c r="AF4" s="3">
        <v>46049</v>
      </c>
      <c r="AG4" s="3">
        <v>46050</v>
      </c>
      <c r="AH4" s="3">
        <v>46051</v>
      </c>
      <c r="AI4" s="3">
        <v>46052</v>
      </c>
      <c r="AJ4" s="3">
        <v>46053</v>
      </c>
      <c r="AK4" s="4" t="s">
        <v>15</v>
      </c>
      <c r="AL4" s="46" t="s">
        <v>43</v>
      </c>
      <c r="AM4" s="46" t="s">
        <v>44</v>
      </c>
      <c r="AN4" s="46" t="s">
        <v>45</v>
      </c>
      <c r="AO4" s="46" t="s">
        <v>46</v>
      </c>
    </row>
    <row r="5" spans="1:41" x14ac:dyDescent="0.65">
      <c r="A5" s="36"/>
      <c r="B5" s="38"/>
      <c r="C5" s="38"/>
      <c r="D5" s="20"/>
      <c r="E5" s="38"/>
      <c r="F5" s="5" t="s">
        <v>8</v>
      </c>
      <c r="G5" s="6" t="s">
        <v>2</v>
      </c>
      <c r="H5" s="5" t="s">
        <v>1</v>
      </c>
      <c r="I5" s="5" t="s">
        <v>7</v>
      </c>
      <c r="J5" s="5" t="s">
        <v>6</v>
      </c>
      <c r="K5" s="5" t="s">
        <v>5</v>
      </c>
      <c r="L5" s="5" t="s">
        <v>4</v>
      </c>
      <c r="M5" s="5" t="s">
        <v>3</v>
      </c>
      <c r="N5" s="6" t="s">
        <v>2</v>
      </c>
      <c r="O5" s="5" t="s">
        <v>1</v>
      </c>
      <c r="P5" s="5" t="s">
        <v>7</v>
      </c>
      <c r="Q5" s="5" t="s">
        <v>6</v>
      </c>
      <c r="R5" s="5" t="s">
        <v>5</v>
      </c>
      <c r="S5" s="5" t="s">
        <v>4</v>
      </c>
      <c r="T5" s="5" t="s">
        <v>3</v>
      </c>
      <c r="U5" s="6" t="s">
        <v>2</v>
      </c>
      <c r="V5" s="5" t="s">
        <v>1</v>
      </c>
      <c r="W5" s="5" t="s">
        <v>7</v>
      </c>
      <c r="X5" s="5" t="s">
        <v>6</v>
      </c>
      <c r="Y5" s="5" t="s">
        <v>5</v>
      </c>
      <c r="Z5" s="5" t="s">
        <v>4</v>
      </c>
      <c r="AA5" s="5" t="s">
        <v>3</v>
      </c>
      <c r="AB5" s="6" t="s">
        <v>2</v>
      </c>
      <c r="AC5" s="5" t="s">
        <v>1</v>
      </c>
      <c r="AD5" s="5" t="s">
        <v>7</v>
      </c>
      <c r="AE5" s="5" t="s">
        <v>6</v>
      </c>
      <c r="AF5" s="5" t="s">
        <v>5</v>
      </c>
      <c r="AG5" s="5" t="s">
        <v>4</v>
      </c>
      <c r="AH5" s="5" t="s">
        <v>3</v>
      </c>
      <c r="AI5" s="6" t="s">
        <v>2</v>
      </c>
      <c r="AJ5" s="5" t="s">
        <v>1</v>
      </c>
      <c r="AK5" s="47"/>
      <c r="AL5" s="46"/>
      <c r="AM5" s="46"/>
      <c r="AN5" s="46"/>
      <c r="AO5" s="46"/>
    </row>
    <row r="6" spans="1:41" x14ac:dyDescent="0.65">
      <c r="A6" s="14">
        <v>1</v>
      </c>
      <c r="B6" s="17">
        <v>2591042771</v>
      </c>
      <c r="C6" s="18" t="s">
        <v>16</v>
      </c>
      <c r="D6" s="15" t="s">
        <v>37</v>
      </c>
      <c r="E6" s="7" t="s">
        <v>13</v>
      </c>
      <c r="F6" s="1" t="s">
        <v>14</v>
      </c>
      <c r="G6" s="8"/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1" t="s">
        <v>0</v>
      </c>
      <c r="N6" s="8" t="s">
        <v>14</v>
      </c>
      <c r="O6" s="1" t="s">
        <v>14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8" t="s">
        <v>14</v>
      </c>
      <c r="V6" s="1" t="s">
        <v>0</v>
      </c>
      <c r="W6" s="1" t="s">
        <v>14</v>
      </c>
      <c r="X6" s="1" t="s">
        <v>14</v>
      </c>
      <c r="Y6" s="1" t="s">
        <v>14</v>
      </c>
      <c r="Z6" s="1" t="s">
        <v>14</v>
      </c>
      <c r="AA6" s="1" t="s">
        <v>14</v>
      </c>
      <c r="AB6" s="8"/>
      <c r="AC6" s="1" t="s">
        <v>14</v>
      </c>
      <c r="AD6" s="1" t="s">
        <v>14</v>
      </c>
      <c r="AE6" s="1" t="s">
        <v>14</v>
      </c>
      <c r="AF6" s="1" t="s">
        <v>0</v>
      </c>
      <c r="AG6" s="1" t="s">
        <v>0</v>
      </c>
      <c r="AH6" s="1" t="s">
        <v>0</v>
      </c>
      <c r="AI6" s="8"/>
      <c r="AJ6" s="1" t="s">
        <v>0</v>
      </c>
      <c r="AK6" s="9">
        <f t="shared" ref="AK6:AK24" si="0">COUNTIF(F6:AJ6,"P")</f>
        <v>22</v>
      </c>
      <c r="AL6" s="48">
        <v>312</v>
      </c>
      <c r="AM6" s="49" t="s">
        <v>47</v>
      </c>
      <c r="AN6" s="50">
        <f>(AL6*AK6)</f>
        <v>6864</v>
      </c>
      <c r="AO6" s="50">
        <f>(AN6)</f>
        <v>6864</v>
      </c>
    </row>
    <row r="7" spans="1:41" x14ac:dyDescent="0.65">
      <c r="A7" s="14">
        <v>2</v>
      </c>
      <c r="B7" s="17">
        <v>2534020728</v>
      </c>
      <c r="C7" s="18" t="s">
        <v>17</v>
      </c>
      <c r="D7" s="15" t="s">
        <v>37</v>
      </c>
      <c r="E7" s="7" t="s">
        <v>13</v>
      </c>
      <c r="F7" s="1" t="s">
        <v>14</v>
      </c>
      <c r="G7" s="8"/>
      <c r="H7" s="1" t="s">
        <v>14</v>
      </c>
      <c r="I7" s="1" t="s">
        <v>14</v>
      </c>
      <c r="J7" s="1" t="s">
        <v>14</v>
      </c>
      <c r="K7" s="1" t="s">
        <v>14</v>
      </c>
      <c r="L7" s="1" t="s">
        <v>14</v>
      </c>
      <c r="M7" s="1" t="s">
        <v>0</v>
      </c>
      <c r="N7" s="8" t="s">
        <v>14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1" t="s">
        <v>14</v>
      </c>
      <c r="U7" s="8" t="s">
        <v>14</v>
      </c>
      <c r="V7" s="1" t="s">
        <v>0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8"/>
      <c r="AC7" s="1" t="s">
        <v>14</v>
      </c>
      <c r="AD7" s="1" t="s">
        <v>14</v>
      </c>
      <c r="AE7" s="1" t="s">
        <v>14</v>
      </c>
      <c r="AF7" s="1" t="s">
        <v>0</v>
      </c>
      <c r="AG7" s="1" t="s">
        <v>14</v>
      </c>
      <c r="AH7" s="1" t="s">
        <v>14</v>
      </c>
      <c r="AI7" s="8"/>
      <c r="AJ7" s="1" t="s">
        <v>14</v>
      </c>
      <c r="AK7" s="9">
        <f t="shared" si="0"/>
        <v>25</v>
      </c>
      <c r="AL7" s="48">
        <v>312</v>
      </c>
      <c r="AM7" s="49" t="s">
        <v>47</v>
      </c>
      <c r="AN7" s="50">
        <f t="shared" ref="AN7:AN24" si="1">(AL7*AK7)</f>
        <v>7800</v>
      </c>
      <c r="AO7" s="50">
        <f t="shared" ref="AO7:AO23" si="2">(AN7)</f>
        <v>7800</v>
      </c>
    </row>
    <row r="8" spans="1:41" x14ac:dyDescent="0.65">
      <c r="A8" s="14">
        <v>3</v>
      </c>
      <c r="B8" s="17">
        <v>2512988557</v>
      </c>
      <c r="C8" s="18" t="s">
        <v>18</v>
      </c>
      <c r="D8" s="15" t="s">
        <v>37</v>
      </c>
      <c r="E8" s="7" t="s">
        <v>13</v>
      </c>
      <c r="F8" s="1" t="s">
        <v>14</v>
      </c>
      <c r="G8" s="8"/>
      <c r="H8" s="1" t="s">
        <v>14</v>
      </c>
      <c r="I8" s="1" t="s">
        <v>0</v>
      </c>
      <c r="J8" s="1" t="s">
        <v>14</v>
      </c>
      <c r="K8" s="1" t="s">
        <v>14</v>
      </c>
      <c r="L8" s="1" t="s">
        <v>14</v>
      </c>
      <c r="M8" s="1" t="s">
        <v>0</v>
      </c>
      <c r="N8" s="8" t="s">
        <v>14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1" t="s">
        <v>14</v>
      </c>
      <c r="U8" s="8" t="s">
        <v>14</v>
      </c>
      <c r="V8" s="1" t="s">
        <v>0</v>
      </c>
      <c r="W8" s="1" t="s">
        <v>14</v>
      </c>
      <c r="X8" s="1" t="s">
        <v>0</v>
      </c>
      <c r="Y8" s="1" t="s">
        <v>0</v>
      </c>
      <c r="Z8" s="1" t="s">
        <v>14</v>
      </c>
      <c r="AA8" s="1" t="s">
        <v>14</v>
      </c>
      <c r="AB8" s="8"/>
      <c r="AC8" s="1" t="s">
        <v>14</v>
      </c>
      <c r="AD8" s="1" t="s">
        <v>14</v>
      </c>
      <c r="AE8" s="1" t="s">
        <v>14</v>
      </c>
      <c r="AF8" s="1" t="s">
        <v>14</v>
      </c>
      <c r="AG8" s="1" t="s">
        <v>0</v>
      </c>
      <c r="AH8" s="1" t="s">
        <v>0</v>
      </c>
      <c r="AI8" s="8"/>
      <c r="AJ8" s="1" t="s">
        <v>0</v>
      </c>
      <c r="AK8" s="9">
        <f t="shared" si="0"/>
        <v>20</v>
      </c>
      <c r="AL8" s="48">
        <v>312</v>
      </c>
      <c r="AM8" s="49" t="s">
        <v>47</v>
      </c>
      <c r="AN8" s="50">
        <f t="shared" si="1"/>
        <v>6240</v>
      </c>
      <c r="AO8" s="50">
        <f t="shared" si="2"/>
        <v>6240</v>
      </c>
    </row>
    <row r="9" spans="1:41" x14ac:dyDescent="0.65">
      <c r="A9" s="14">
        <v>4</v>
      </c>
      <c r="B9" s="17">
        <v>2356387940</v>
      </c>
      <c r="C9" s="18" t="s">
        <v>19</v>
      </c>
      <c r="D9" s="15" t="s">
        <v>37</v>
      </c>
      <c r="E9" s="7" t="s">
        <v>13</v>
      </c>
      <c r="F9" s="1" t="s">
        <v>14</v>
      </c>
      <c r="G9" s="8"/>
      <c r="H9" s="1" t="s">
        <v>14</v>
      </c>
      <c r="I9" s="1" t="s">
        <v>14</v>
      </c>
      <c r="J9" s="1" t="s">
        <v>14</v>
      </c>
      <c r="K9" s="1" t="s">
        <v>0</v>
      </c>
      <c r="L9" s="1" t="s">
        <v>14</v>
      </c>
      <c r="M9" s="1" t="s">
        <v>0</v>
      </c>
      <c r="N9" s="8" t="s">
        <v>14</v>
      </c>
      <c r="O9" s="1" t="s">
        <v>14</v>
      </c>
      <c r="P9" s="1" t="s">
        <v>0</v>
      </c>
      <c r="Q9" s="1" t="s">
        <v>14</v>
      </c>
      <c r="R9" s="1" t="s">
        <v>14</v>
      </c>
      <c r="S9" s="1" t="s">
        <v>14</v>
      </c>
      <c r="T9" s="1" t="s">
        <v>14</v>
      </c>
      <c r="U9" s="8" t="s">
        <v>14</v>
      </c>
      <c r="V9" s="1" t="s">
        <v>0</v>
      </c>
      <c r="W9" s="1" t="s">
        <v>14</v>
      </c>
      <c r="X9" s="1" t="s">
        <v>0</v>
      </c>
      <c r="Y9" s="1" t="s">
        <v>0</v>
      </c>
      <c r="Z9" s="1" t="s">
        <v>14</v>
      </c>
      <c r="AA9" s="1" t="s">
        <v>14</v>
      </c>
      <c r="AB9" s="8"/>
      <c r="AC9" s="1" t="s">
        <v>14</v>
      </c>
      <c r="AD9" s="1" t="s">
        <v>14</v>
      </c>
      <c r="AE9" s="1" t="s">
        <v>14</v>
      </c>
      <c r="AF9" s="1" t="s">
        <v>14</v>
      </c>
      <c r="AG9" s="1" t="s">
        <v>14</v>
      </c>
      <c r="AH9" s="1" t="s">
        <v>0</v>
      </c>
      <c r="AI9" s="8"/>
      <c r="AJ9" s="1" t="s">
        <v>0</v>
      </c>
      <c r="AK9" s="9">
        <f t="shared" si="0"/>
        <v>20</v>
      </c>
      <c r="AL9" s="48">
        <v>312</v>
      </c>
      <c r="AM9" s="49" t="s">
        <v>47</v>
      </c>
      <c r="AN9" s="50">
        <f t="shared" si="1"/>
        <v>6240</v>
      </c>
      <c r="AO9" s="50">
        <f t="shared" si="2"/>
        <v>6240</v>
      </c>
    </row>
    <row r="10" spans="1:41" x14ac:dyDescent="0.65">
      <c r="A10" s="14">
        <v>5</v>
      </c>
      <c r="B10" s="17">
        <v>2356387940</v>
      </c>
      <c r="C10" s="18" t="s">
        <v>20</v>
      </c>
      <c r="D10" s="16" t="s">
        <v>37</v>
      </c>
      <c r="E10" s="7" t="s">
        <v>13</v>
      </c>
      <c r="F10" s="1" t="s">
        <v>14</v>
      </c>
      <c r="G10" s="8"/>
      <c r="H10" s="1" t="s">
        <v>14</v>
      </c>
      <c r="I10" s="1" t="s">
        <v>14</v>
      </c>
      <c r="J10" s="1" t="s">
        <v>14</v>
      </c>
      <c r="K10" s="1" t="s">
        <v>14</v>
      </c>
      <c r="L10" s="1" t="s">
        <v>14</v>
      </c>
      <c r="M10" s="1" t="s">
        <v>0</v>
      </c>
      <c r="N10" s="8" t="s">
        <v>14</v>
      </c>
      <c r="O10" s="1" t="s">
        <v>14</v>
      </c>
      <c r="P10" s="1" t="s">
        <v>14</v>
      </c>
      <c r="Q10" s="1" t="s">
        <v>0</v>
      </c>
      <c r="R10" s="1" t="s">
        <v>0</v>
      </c>
      <c r="S10" s="1" t="s">
        <v>0</v>
      </c>
      <c r="T10" s="1" t="s">
        <v>0</v>
      </c>
      <c r="U10" s="8"/>
      <c r="V10" s="1" t="s">
        <v>0</v>
      </c>
      <c r="W10" s="1" t="s">
        <v>14</v>
      </c>
      <c r="X10" s="1" t="s">
        <v>0</v>
      </c>
      <c r="Y10" s="1" t="s">
        <v>0</v>
      </c>
      <c r="Z10" s="1" t="s">
        <v>14</v>
      </c>
      <c r="AA10" s="1" t="s">
        <v>14</v>
      </c>
      <c r="AB10" s="8"/>
      <c r="AC10" s="1" t="s">
        <v>14</v>
      </c>
      <c r="AD10" s="1" t="s">
        <v>14</v>
      </c>
      <c r="AE10" s="1" t="s">
        <v>14</v>
      </c>
      <c r="AF10" s="1" t="s">
        <v>14</v>
      </c>
      <c r="AG10" s="1" t="s">
        <v>14</v>
      </c>
      <c r="AH10" s="1" t="s">
        <v>14</v>
      </c>
      <c r="AI10" s="8"/>
      <c r="AJ10" s="1" t="s">
        <v>14</v>
      </c>
      <c r="AK10" s="9">
        <f t="shared" si="0"/>
        <v>19</v>
      </c>
      <c r="AL10" s="48">
        <v>312</v>
      </c>
      <c r="AM10" s="49" t="s">
        <v>47</v>
      </c>
      <c r="AN10" s="50">
        <f t="shared" si="1"/>
        <v>5928</v>
      </c>
      <c r="AO10" s="50">
        <f t="shared" si="2"/>
        <v>5928</v>
      </c>
    </row>
    <row r="11" spans="1:41" x14ac:dyDescent="0.65">
      <c r="A11" s="14">
        <v>6</v>
      </c>
      <c r="B11" s="17">
        <v>2516084932</v>
      </c>
      <c r="C11" s="18" t="s">
        <v>21</v>
      </c>
      <c r="D11" s="15" t="s">
        <v>37</v>
      </c>
      <c r="E11" s="7" t="s">
        <v>13</v>
      </c>
      <c r="F11" s="1" t="s">
        <v>14</v>
      </c>
      <c r="G11" s="8"/>
      <c r="H11" s="1" t="s">
        <v>14</v>
      </c>
      <c r="I11" s="1" t="s">
        <v>0</v>
      </c>
      <c r="J11" s="1" t="s">
        <v>14</v>
      </c>
      <c r="K11" s="1" t="s">
        <v>14</v>
      </c>
      <c r="L11" s="1" t="s">
        <v>14</v>
      </c>
      <c r="M11" s="1" t="s">
        <v>0</v>
      </c>
      <c r="N11" s="8" t="s">
        <v>14</v>
      </c>
      <c r="O11" s="1" t="s">
        <v>14</v>
      </c>
      <c r="P11" s="1" t="s">
        <v>14</v>
      </c>
      <c r="Q11" s="1" t="s">
        <v>0</v>
      </c>
      <c r="R11" s="1" t="s">
        <v>0</v>
      </c>
      <c r="S11" s="1" t="s">
        <v>0</v>
      </c>
      <c r="T11" s="1" t="s">
        <v>0</v>
      </c>
      <c r="U11" s="8"/>
      <c r="V11" s="1" t="s">
        <v>0</v>
      </c>
      <c r="W11" s="1" t="s">
        <v>14</v>
      </c>
      <c r="X11" s="1" t="s">
        <v>0</v>
      </c>
      <c r="Y11" s="1" t="s">
        <v>0</v>
      </c>
      <c r="Z11" s="1" t="s">
        <v>14</v>
      </c>
      <c r="AA11" s="1" t="s">
        <v>14</v>
      </c>
      <c r="AB11" s="8"/>
      <c r="AC11" s="1" t="s">
        <v>14</v>
      </c>
      <c r="AD11" s="1" t="s">
        <v>14</v>
      </c>
      <c r="AE11" s="1" t="s">
        <v>14</v>
      </c>
      <c r="AF11" s="1" t="s">
        <v>14</v>
      </c>
      <c r="AG11" s="1" t="s">
        <v>14</v>
      </c>
      <c r="AH11" s="1" t="s">
        <v>14</v>
      </c>
      <c r="AI11" s="8"/>
      <c r="AJ11" s="1" t="s">
        <v>0</v>
      </c>
      <c r="AK11" s="9">
        <f t="shared" si="0"/>
        <v>17</v>
      </c>
      <c r="AL11" s="48">
        <v>312</v>
      </c>
      <c r="AM11" s="49" t="s">
        <v>47</v>
      </c>
      <c r="AN11" s="50">
        <f t="shared" si="1"/>
        <v>5304</v>
      </c>
      <c r="AO11" s="50">
        <f t="shared" si="2"/>
        <v>5304</v>
      </c>
    </row>
    <row r="12" spans="1:41" x14ac:dyDescent="0.65">
      <c r="A12" s="14">
        <v>7</v>
      </c>
      <c r="B12" s="17">
        <v>2534020967</v>
      </c>
      <c r="C12" s="18" t="s">
        <v>22</v>
      </c>
      <c r="D12" s="15" t="s">
        <v>37</v>
      </c>
      <c r="E12" s="7" t="s">
        <v>13</v>
      </c>
      <c r="F12" s="1" t="s">
        <v>14</v>
      </c>
      <c r="G12" s="8"/>
      <c r="H12" s="1" t="s">
        <v>14</v>
      </c>
      <c r="I12" s="1" t="s">
        <v>0</v>
      </c>
      <c r="J12" s="1" t="s">
        <v>0</v>
      </c>
      <c r="K12" s="1" t="s">
        <v>14</v>
      </c>
      <c r="L12" s="1" t="s">
        <v>0</v>
      </c>
      <c r="M12" s="1" t="s">
        <v>0</v>
      </c>
      <c r="N12" s="8"/>
      <c r="O12" s="1" t="s">
        <v>14</v>
      </c>
      <c r="P12" s="1" t="s">
        <v>14</v>
      </c>
      <c r="Q12" s="1" t="s">
        <v>0</v>
      </c>
      <c r="R12" s="1" t="s">
        <v>0</v>
      </c>
      <c r="S12" s="1" t="s">
        <v>0</v>
      </c>
      <c r="T12" s="1" t="s">
        <v>0</v>
      </c>
      <c r="U12" s="8"/>
      <c r="V12" s="1" t="s">
        <v>0</v>
      </c>
      <c r="W12" s="1" t="s">
        <v>0</v>
      </c>
      <c r="X12" s="1" t="s">
        <v>0</v>
      </c>
      <c r="Y12" s="1" t="s">
        <v>0</v>
      </c>
      <c r="Z12" s="1" t="s">
        <v>14</v>
      </c>
      <c r="AA12" s="1" t="s">
        <v>14</v>
      </c>
      <c r="AB12" s="8"/>
      <c r="AC12" s="1" t="s">
        <v>14</v>
      </c>
      <c r="AD12" s="1" t="s">
        <v>14</v>
      </c>
      <c r="AE12" s="1" t="s">
        <v>0</v>
      </c>
      <c r="AF12" s="1" t="s">
        <v>0</v>
      </c>
      <c r="AG12" s="1" t="s">
        <v>14</v>
      </c>
      <c r="AH12" s="1" t="s">
        <v>14</v>
      </c>
      <c r="AI12" s="8"/>
      <c r="AJ12" s="1" t="s">
        <v>0</v>
      </c>
      <c r="AK12" s="9">
        <f t="shared" si="0"/>
        <v>11</v>
      </c>
      <c r="AL12" s="48">
        <v>312</v>
      </c>
      <c r="AM12" s="49" t="s">
        <v>47</v>
      </c>
      <c r="AN12" s="50">
        <f t="shared" si="1"/>
        <v>3432</v>
      </c>
      <c r="AO12" s="50">
        <f t="shared" si="2"/>
        <v>3432</v>
      </c>
    </row>
    <row r="13" spans="1:41" x14ac:dyDescent="0.65">
      <c r="A13" s="14">
        <v>8</v>
      </c>
      <c r="B13" s="17">
        <v>2597371760</v>
      </c>
      <c r="C13" s="18" t="s">
        <v>29</v>
      </c>
      <c r="D13" s="15" t="s">
        <v>37</v>
      </c>
      <c r="E13" s="7" t="s">
        <v>13</v>
      </c>
      <c r="F13" s="1" t="s">
        <v>14</v>
      </c>
      <c r="G13" s="8"/>
      <c r="H13" s="1" t="s">
        <v>14</v>
      </c>
      <c r="I13" s="1" t="s">
        <v>14</v>
      </c>
      <c r="J13" s="1" t="s">
        <v>0</v>
      </c>
      <c r="K13" s="1" t="s">
        <v>0</v>
      </c>
      <c r="L13" s="1" t="s">
        <v>0</v>
      </c>
      <c r="M13" s="1" t="s">
        <v>0</v>
      </c>
      <c r="N13" s="8"/>
      <c r="O13" s="1" t="s">
        <v>14</v>
      </c>
      <c r="P13" s="1" t="s">
        <v>14</v>
      </c>
      <c r="Q13" s="1" t="s">
        <v>0</v>
      </c>
      <c r="R13" s="1" t="s">
        <v>0</v>
      </c>
      <c r="S13" s="1" t="s">
        <v>0</v>
      </c>
      <c r="T13" s="1" t="s">
        <v>0</v>
      </c>
      <c r="U13" s="8"/>
      <c r="V13" s="1" t="s">
        <v>0</v>
      </c>
      <c r="W13" s="1" t="s">
        <v>0</v>
      </c>
      <c r="X13" s="1" t="s">
        <v>0</v>
      </c>
      <c r="Y13" s="1" t="s">
        <v>0</v>
      </c>
      <c r="Z13" s="1" t="s">
        <v>14</v>
      </c>
      <c r="AA13" s="1" t="s">
        <v>14</v>
      </c>
      <c r="AB13" s="8"/>
      <c r="AC13" s="1" t="s">
        <v>14</v>
      </c>
      <c r="AD13" s="1" t="s">
        <v>14</v>
      </c>
      <c r="AE13" s="1" t="s">
        <v>0</v>
      </c>
      <c r="AF13" s="1" t="s">
        <v>0</v>
      </c>
      <c r="AG13" s="1" t="s">
        <v>14</v>
      </c>
      <c r="AH13" s="1" t="s">
        <v>14</v>
      </c>
      <c r="AI13" s="8"/>
      <c r="AJ13" s="1" t="s">
        <v>0</v>
      </c>
      <c r="AK13" s="9">
        <f t="shared" si="0"/>
        <v>11</v>
      </c>
      <c r="AL13" s="48">
        <v>312</v>
      </c>
      <c r="AM13" s="49" t="s">
        <v>47</v>
      </c>
      <c r="AN13" s="50">
        <f t="shared" si="1"/>
        <v>3432</v>
      </c>
      <c r="AO13" s="50">
        <f t="shared" si="2"/>
        <v>3432</v>
      </c>
    </row>
    <row r="14" spans="1:41" x14ac:dyDescent="0.65">
      <c r="A14" s="14">
        <v>9</v>
      </c>
      <c r="B14" s="17">
        <v>2567908815</v>
      </c>
      <c r="C14" s="18" t="s">
        <v>30</v>
      </c>
      <c r="D14" s="15" t="s">
        <v>37</v>
      </c>
      <c r="E14" s="7" t="s">
        <v>13</v>
      </c>
      <c r="F14" s="1" t="s">
        <v>14</v>
      </c>
      <c r="G14" s="8"/>
      <c r="H14" s="1" t="s">
        <v>14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8"/>
      <c r="O14" s="1" t="s">
        <v>14</v>
      </c>
      <c r="P14" s="1" t="s">
        <v>14</v>
      </c>
      <c r="Q14" s="1" t="s">
        <v>0</v>
      </c>
      <c r="R14" s="1" t="s">
        <v>0</v>
      </c>
      <c r="S14" s="1" t="s">
        <v>0</v>
      </c>
      <c r="T14" s="1" t="s">
        <v>0</v>
      </c>
      <c r="U14" s="8"/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14</v>
      </c>
      <c r="AB14" s="8"/>
      <c r="AC14" s="1" t="s">
        <v>14</v>
      </c>
      <c r="AD14" s="1" t="s">
        <v>14</v>
      </c>
      <c r="AE14" s="1" t="s">
        <v>0</v>
      </c>
      <c r="AF14" s="1" t="s">
        <v>0</v>
      </c>
      <c r="AG14" s="1" t="s">
        <v>0</v>
      </c>
      <c r="AH14" s="1" t="s">
        <v>14</v>
      </c>
      <c r="AI14" s="8"/>
      <c r="AJ14" s="1" t="s">
        <v>0</v>
      </c>
      <c r="AK14" s="9">
        <f t="shared" si="0"/>
        <v>8</v>
      </c>
      <c r="AL14" s="48">
        <v>312</v>
      </c>
      <c r="AM14" s="49" t="s">
        <v>47</v>
      </c>
      <c r="AN14" s="50">
        <f t="shared" si="1"/>
        <v>2496</v>
      </c>
      <c r="AO14" s="50">
        <f t="shared" si="2"/>
        <v>2496</v>
      </c>
    </row>
    <row r="15" spans="1:41" x14ac:dyDescent="0.65">
      <c r="A15" s="14">
        <v>10</v>
      </c>
      <c r="B15" s="17">
        <v>2567908816</v>
      </c>
      <c r="C15" s="18" t="s">
        <v>31</v>
      </c>
      <c r="D15" s="15" t="s">
        <v>37</v>
      </c>
      <c r="E15" s="7" t="s">
        <v>13</v>
      </c>
      <c r="F15" s="1" t="s">
        <v>14</v>
      </c>
      <c r="G15" s="8"/>
      <c r="H15" s="1" t="s">
        <v>14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8"/>
      <c r="O15" s="1" t="s">
        <v>14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8"/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8"/>
      <c r="AC15" s="1" t="s">
        <v>14</v>
      </c>
      <c r="AD15" s="1" t="s">
        <v>14</v>
      </c>
      <c r="AE15" s="1" t="s">
        <v>0</v>
      </c>
      <c r="AF15" s="1" t="s">
        <v>0</v>
      </c>
      <c r="AG15" s="1" t="s">
        <v>0</v>
      </c>
      <c r="AH15" s="1" t="s">
        <v>0</v>
      </c>
      <c r="AI15" s="8"/>
      <c r="AJ15" s="1" t="s">
        <v>0</v>
      </c>
      <c r="AK15" s="9">
        <f t="shared" si="0"/>
        <v>5</v>
      </c>
      <c r="AL15" s="48">
        <v>312</v>
      </c>
      <c r="AM15" s="49" t="s">
        <v>47</v>
      </c>
      <c r="AN15" s="50">
        <f t="shared" si="1"/>
        <v>1560</v>
      </c>
      <c r="AO15" s="50">
        <f t="shared" si="2"/>
        <v>1560</v>
      </c>
    </row>
    <row r="16" spans="1:41" x14ac:dyDescent="0.65">
      <c r="A16" s="14">
        <v>11</v>
      </c>
      <c r="B16" s="17">
        <v>2567908817</v>
      </c>
      <c r="C16" s="18" t="s">
        <v>36</v>
      </c>
      <c r="D16" s="15" t="s">
        <v>37</v>
      </c>
      <c r="E16" s="7" t="s">
        <v>13</v>
      </c>
      <c r="F16" s="1" t="s">
        <v>14</v>
      </c>
      <c r="G16" s="8"/>
      <c r="H16" s="1" t="s">
        <v>14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8"/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8"/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8"/>
      <c r="AC16" s="1" t="s">
        <v>14</v>
      </c>
      <c r="AD16" s="1" t="s">
        <v>0</v>
      </c>
      <c r="AE16" s="1" t="s">
        <v>0</v>
      </c>
      <c r="AF16" s="1" t="s">
        <v>0</v>
      </c>
      <c r="AG16" s="1" t="s">
        <v>0</v>
      </c>
      <c r="AH16" s="1" t="s">
        <v>0</v>
      </c>
      <c r="AI16" s="8"/>
      <c r="AJ16" s="1" t="s">
        <v>0</v>
      </c>
      <c r="AK16" s="9">
        <f t="shared" si="0"/>
        <v>3</v>
      </c>
      <c r="AL16" s="48">
        <v>312</v>
      </c>
      <c r="AM16" s="49" t="s">
        <v>47</v>
      </c>
      <c r="AN16" s="50">
        <f t="shared" si="1"/>
        <v>936</v>
      </c>
      <c r="AO16" s="50">
        <f t="shared" si="2"/>
        <v>936</v>
      </c>
    </row>
    <row r="17" spans="1:58" x14ac:dyDescent="0.65">
      <c r="A17" s="14">
        <v>12</v>
      </c>
      <c r="B17" s="17">
        <v>2567908818</v>
      </c>
      <c r="C17" s="18" t="s">
        <v>32</v>
      </c>
      <c r="D17" s="15" t="s">
        <v>37</v>
      </c>
      <c r="E17" s="7" t="s">
        <v>13</v>
      </c>
      <c r="F17" s="1" t="s">
        <v>14</v>
      </c>
      <c r="G17" s="8"/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8"/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8"/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8"/>
      <c r="AC17" s="1" t="s">
        <v>14</v>
      </c>
      <c r="AD17" s="1" t="s">
        <v>0</v>
      </c>
      <c r="AE17" s="1" t="s">
        <v>0</v>
      </c>
      <c r="AF17" s="1" t="s">
        <v>0</v>
      </c>
      <c r="AG17" s="1" t="s">
        <v>0</v>
      </c>
      <c r="AH17" s="1" t="s">
        <v>0</v>
      </c>
      <c r="AI17" s="8"/>
      <c r="AJ17" s="1" t="s">
        <v>0</v>
      </c>
      <c r="AK17" s="9">
        <f t="shared" si="0"/>
        <v>2</v>
      </c>
      <c r="AL17" s="48">
        <v>312</v>
      </c>
      <c r="AM17" s="49" t="s">
        <v>47</v>
      </c>
      <c r="AN17" s="50">
        <f t="shared" si="1"/>
        <v>624</v>
      </c>
      <c r="AO17" s="50">
        <f t="shared" si="2"/>
        <v>624</v>
      </c>
    </row>
    <row r="18" spans="1:58" x14ac:dyDescent="0.65">
      <c r="A18" s="14">
        <v>13</v>
      </c>
      <c r="B18" s="17">
        <v>2593277359</v>
      </c>
      <c r="C18" s="18" t="s">
        <v>33</v>
      </c>
      <c r="D18" s="15" t="s">
        <v>37</v>
      </c>
      <c r="E18" s="7" t="s">
        <v>13</v>
      </c>
      <c r="F18" s="1" t="s">
        <v>14</v>
      </c>
      <c r="G18" s="8"/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8"/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8"/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8"/>
      <c r="AC18" s="1" t="s">
        <v>0</v>
      </c>
      <c r="AD18" s="1" t="s">
        <v>0</v>
      </c>
      <c r="AE18" s="1" t="s">
        <v>0</v>
      </c>
      <c r="AF18" s="1" t="s">
        <v>0</v>
      </c>
      <c r="AG18" s="1" t="s">
        <v>0</v>
      </c>
      <c r="AH18" s="1" t="s">
        <v>0</v>
      </c>
      <c r="AI18" s="8"/>
      <c r="AJ18" s="1" t="s">
        <v>0</v>
      </c>
      <c r="AK18" s="9">
        <f t="shared" si="0"/>
        <v>1</v>
      </c>
      <c r="AL18" s="48">
        <v>312</v>
      </c>
      <c r="AM18" s="49" t="s">
        <v>47</v>
      </c>
      <c r="AN18" s="50">
        <f t="shared" si="1"/>
        <v>312</v>
      </c>
      <c r="AO18" s="50">
        <f t="shared" si="2"/>
        <v>312</v>
      </c>
    </row>
    <row r="19" spans="1:58" x14ac:dyDescent="0.65">
      <c r="A19" s="14">
        <v>14</v>
      </c>
      <c r="B19" s="17">
        <v>2597367958</v>
      </c>
      <c r="C19" s="18" t="s">
        <v>34</v>
      </c>
      <c r="D19" s="15" t="s">
        <v>37</v>
      </c>
      <c r="E19" s="7" t="s">
        <v>13</v>
      </c>
      <c r="F19" s="1" t="s">
        <v>14</v>
      </c>
      <c r="G19" s="8"/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8"/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8"/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8"/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  <c r="AH19" s="1" t="s">
        <v>0</v>
      </c>
      <c r="AI19" s="8"/>
      <c r="AJ19" s="1" t="s">
        <v>0</v>
      </c>
      <c r="AK19" s="9">
        <f t="shared" si="0"/>
        <v>1</v>
      </c>
      <c r="AL19" s="48">
        <v>312</v>
      </c>
      <c r="AM19" s="49" t="s">
        <v>47</v>
      </c>
      <c r="AN19" s="50">
        <f t="shared" si="1"/>
        <v>312</v>
      </c>
      <c r="AO19" s="50">
        <f t="shared" si="2"/>
        <v>312</v>
      </c>
    </row>
    <row r="20" spans="1:58" x14ac:dyDescent="0.65">
      <c r="A20" s="14">
        <v>15</v>
      </c>
      <c r="B20" s="17">
        <v>2593179258</v>
      </c>
      <c r="C20" s="18" t="s">
        <v>23</v>
      </c>
      <c r="D20" s="15" t="s">
        <v>38</v>
      </c>
      <c r="E20" s="7" t="s">
        <v>13</v>
      </c>
      <c r="F20" s="1" t="s">
        <v>14</v>
      </c>
      <c r="G20" s="8"/>
      <c r="H20" s="1" t="s">
        <v>14</v>
      </c>
      <c r="I20" s="1" t="s">
        <v>14</v>
      </c>
      <c r="J20" s="1" t="s">
        <v>14</v>
      </c>
      <c r="K20" s="1" t="s">
        <v>14</v>
      </c>
      <c r="L20" s="1" t="s">
        <v>14</v>
      </c>
      <c r="M20" s="1" t="s">
        <v>0</v>
      </c>
      <c r="N20" s="8" t="s">
        <v>14</v>
      </c>
      <c r="O20" s="1" t="s">
        <v>14</v>
      </c>
      <c r="P20" s="1" t="s">
        <v>14</v>
      </c>
      <c r="Q20" s="1" t="s">
        <v>14</v>
      </c>
      <c r="R20" s="1" t="s">
        <v>14</v>
      </c>
      <c r="S20" s="1" t="s">
        <v>14</v>
      </c>
      <c r="T20" s="1" t="s">
        <v>14</v>
      </c>
      <c r="U20" s="8" t="s">
        <v>14</v>
      </c>
      <c r="V20" s="1" t="s">
        <v>0</v>
      </c>
      <c r="W20" s="1" t="s">
        <v>14</v>
      </c>
      <c r="X20" s="1" t="s">
        <v>14</v>
      </c>
      <c r="Y20" s="1" t="s">
        <v>14</v>
      </c>
      <c r="Z20" s="1" t="s">
        <v>14</v>
      </c>
      <c r="AA20" s="1" t="s">
        <v>14</v>
      </c>
      <c r="AB20" s="8"/>
      <c r="AC20" s="1" t="s">
        <v>14</v>
      </c>
      <c r="AD20" s="1" t="s">
        <v>14</v>
      </c>
      <c r="AE20" s="1" t="s">
        <v>14</v>
      </c>
      <c r="AF20" s="1" t="s">
        <v>0</v>
      </c>
      <c r="AG20" s="1" t="s">
        <v>0</v>
      </c>
      <c r="AH20" s="1" t="s">
        <v>14</v>
      </c>
      <c r="AI20" s="8"/>
      <c r="AJ20" s="1" t="s">
        <v>0</v>
      </c>
      <c r="AK20" s="9">
        <f t="shared" si="0"/>
        <v>23</v>
      </c>
      <c r="AL20" s="48">
        <v>312</v>
      </c>
      <c r="AM20" s="49" t="s">
        <v>47</v>
      </c>
      <c r="AN20" s="50">
        <f t="shared" si="1"/>
        <v>7176</v>
      </c>
      <c r="AO20" s="50">
        <f t="shared" si="2"/>
        <v>7176</v>
      </c>
    </row>
    <row r="21" spans="1:58" x14ac:dyDescent="0.65">
      <c r="A21" s="14">
        <v>16</v>
      </c>
      <c r="B21" s="17">
        <v>2231920501</v>
      </c>
      <c r="C21" s="18" t="s">
        <v>24</v>
      </c>
      <c r="D21" s="15" t="s">
        <v>38</v>
      </c>
      <c r="E21" s="7" t="s">
        <v>13</v>
      </c>
      <c r="F21" s="1" t="s">
        <v>14</v>
      </c>
      <c r="G21" s="8"/>
      <c r="H21" s="1" t="s">
        <v>14</v>
      </c>
      <c r="I21" s="1" t="s">
        <v>14</v>
      </c>
      <c r="J21" s="1" t="s">
        <v>14</v>
      </c>
      <c r="K21" s="1" t="s">
        <v>14</v>
      </c>
      <c r="L21" s="1" t="s">
        <v>14</v>
      </c>
      <c r="M21" s="1" t="s">
        <v>0</v>
      </c>
      <c r="N21" s="8" t="s">
        <v>14</v>
      </c>
      <c r="O21" s="1" t="s">
        <v>14</v>
      </c>
      <c r="P21" s="1" t="s">
        <v>14</v>
      </c>
      <c r="Q21" s="1" t="s">
        <v>14</v>
      </c>
      <c r="R21" s="1" t="s">
        <v>14</v>
      </c>
      <c r="S21" s="1" t="s">
        <v>14</v>
      </c>
      <c r="T21" s="1" t="s">
        <v>14</v>
      </c>
      <c r="U21" s="8" t="s">
        <v>14</v>
      </c>
      <c r="V21" s="1" t="s">
        <v>0</v>
      </c>
      <c r="W21" s="1" t="s">
        <v>14</v>
      </c>
      <c r="X21" s="1" t="s">
        <v>14</v>
      </c>
      <c r="Y21" s="1" t="s">
        <v>14</v>
      </c>
      <c r="Z21" s="1" t="s">
        <v>14</v>
      </c>
      <c r="AA21" s="1" t="s">
        <v>14</v>
      </c>
      <c r="AB21" s="8"/>
      <c r="AC21" s="1" t="s">
        <v>14</v>
      </c>
      <c r="AD21" s="1" t="s">
        <v>14</v>
      </c>
      <c r="AE21" s="1" t="s">
        <v>14</v>
      </c>
      <c r="AF21" s="1" t="s">
        <v>0</v>
      </c>
      <c r="AG21" s="1" t="s">
        <v>14</v>
      </c>
      <c r="AH21" s="1" t="s">
        <v>14</v>
      </c>
      <c r="AI21" s="8"/>
      <c r="AJ21" s="1" t="s">
        <v>14</v>
      </c>
      <c r="AK21" s="9">
        <f t="shared" si="0"/>
        <v>25</v>
      </c>
      <c r="AL21" s="48">
        <v>312</v>
      </c>
      <c r="AM21" s="49" t="s">
        <v>47</v>
      </c>
      <c r="AN21" s="50">
        <f t="shared" si="1"/>
        <v>7800</v>
      </c>
      <c r="AO21" s="50">
        <f t="shared" si="2"/>
        <v>7800</v>
      </c>
    </row>
    <row r="22" spans="1:58" x14ac:dyDescent="0.65">
      <c r="A22" s="14">
        <v>17</v>
      </c>
      <c r="B22" s="17">
        <v>2561443298</v>
      </c>
      <c r="C22" s="18" t="s">
        <v>25</v>
      </c>
      <c r="D22" s="15" t="s">
        <v>38</v>
      </c>
      <c r="E22" s="7" t="s">
        <v>13</v>
      </c>
      <c r="F22" s="1" t="s">
        <v>14</v>
      </c>
      <c r="G22" s="8"/>
      <c r="H22" s="1" t="s">
        <v>14</v>
      </c>
      <c r="I22" s="1" t="s">
        <v>14</v>
      </c>
      <c r="J22" s="1" t="s">
        <v>14</v>
      </c>
      <c r="K22" s="1" t="s">
        <v>14</v>
      </c>
      <c r="L22" s="1" t="s">
        <v>14</v>
      </c>
      <c r="M22" s="1" t="s">
        <v>0</v>
      </c>
      <c r="N22" s="8" t="s">
        <v>14</v>
      </c>
      <c r="O22" s="1" t="s">
        <v>14</v>
      </c>
      <c r="P22" s="1" t="s">
        <v>14</v>
      </c>
      <c r="Q22" s="1" t="s">
        <v>14</v>
      </c>
      <c r="R22" s="1" t="s">
        <v>14</v>
      </c>
      <c r="S22" s="1" t="s">
        <v>14</v>
      </c>
      <c r="T22" s="1" t="s">
        <v>14</v>
      </c>
      <c r="U22" s="8" t="s">
        <v>14</v>
      </c>
      <c r="V22" s="1" t="s">
        <v>0</v>
      </c>
      <c r="W22" s="1" t="s">
        <v>14</v>
      </c>
      <c r="X22" s="1" t="s">
        <v>14</v>
      </c>
      <c r="Y22" s="1" t="s">
        <v>14</v>
      </c>
      <c r="Z22" s="1" t="s">
        <v>14</v>
      </c>
      <c r="AA22" s="1" t="s">
        <v>14</v>
      </c>
      <c r="AB22" s="8"/>
      <c r="AC22" s="1" t="s">
        <v>14</v>
      </c>
      <c r="AD22" s="1" t="s">
        <v>14</v>
      </c>
      <c r="AE22" s="1" t="s">
        <v>14</v>
      </c>
      <c r="AF22" s="1" t="s">
        <v>0</v>
      </c>
      <c r="AG22" s="1" t="s">
        <v>14</v>
      </c>
      <c r="AH22" s="1" t="s">
        <v>0</v>
      </c>
      <c r="AI22" s="8"/>
      <c r="AJ22" s="1" t="s">
        <v>14</v>
      </c>
      <c r="AK22" s="9">
        <f t="shared" si="0"/>
        <v>24</v>
      </c>
      <c r="AL22" s="48">
        <v>312</v>
      </c>
      <c r="AM22" s="49" t="s">
        <v>47</v>
      </c>
      <c r="AN22" s="50">
        <f t="shared" si="1"/>
        <v>7488</v>
      </c>
      <c r="AO22" s="50">
        <f t="shared" si="2"/>
        <v>7488</v>
      </c>
    </row>
    <row r="23" spans="1:58" x14ac:dyDescent="0.65">
      <c r="A23" s="14">
        <v>18</v>
      </c>
      <c r="B23" s="17">
        <v>2561443225</v>
      </c>
      <c r="C23" s="18" t="s">
        <v>26</v>
      </c>
      <c r="D23" s="15" t="s">
        <v>38</v>
      </c>
      <c r="E23" s="7" t="s">
        <v>13</v>
      </c>
      <c r="F23" s="1" t="s">
        <v>14</v>
      </c>
      <c r="G23" s="8"/>
      <c r="H23" s="1" t="s">
        <v>14</v>
      </c>
      <c r="I23" s="1" t="s">
        <v>14</v>
      </c>
      <c r="J23" s="1" t="s">
        <v>14</v>
      </c>
      <c r="K23" s="1" t="s">
        <v>14</v>
      </c>
      <c r="L23" s="1" t="s">
        <v>14</v>
      </c>
      <c r="M23" s="1" t="s">
        <v>0</v>
      </c>
      <c r="N23" s="8" t="s">
        <v>14</v>
      </c>
      <c r="O23" s="1" t="s">
        <v>14</v>
      </c>
      <c r="P23" s="1" t="s">
        <v>14</v>
      </c>
      <c r="Q23" s="1" t="s">
        <v>14</v>
      </c>
      <c r="R23" s="1" t="s">
        <v>14</v>
      </c>
      <c r="S23" s="1" t="s">
        <v>14</v>
      </c>
      <c r="T23" s="1" t="s">
        <v>14</v>
      </c>
      <c r="U23" s="8"/>
      <c r="V23" s="1" t="s">
        <v>0</v>
      </c>
      <c r="W23" s="1" t="s">
        <v>14</v>
      </c>
      <c r="X23" s="1" t="s">
        <v>14</v>
      </c>
      <c r="Y23" s="1" t="s">
        <v>14</v>
      </c>
      <c r="Z23" s="1" t="s">
        <v>0</v>
      </c>
      <c r="AA23" s="1" t="s">
        <v>0</v>
      </c>
      <c r="AB23" s="8"/>
      <c r="AC23" s="1" t="s">
        <v>0</v>
      </c>
      <c r="AD23" s="1" t="s">
        <v>14</v>
      </c>
      <c r="AE23" s="1" t="s">
        <v>14</v>
      </c>
      <c r="AF23" s="1" t="s">
        <v>0</v>
      </c>
      <c r="AG23" s="1" t="s">
        <v>0</v>
      </c>
      <c r="AH23" s="1" t="s">
        <v>0</v>
      </c>
      <c r="AI23" s="8"/>
      <c r="AJ23" s="1" t="s">
        <v>14</v>
      </c>
      <c r="AK23" s="9">
        <f t="shared" si="0"/>
        <v>19</v>
      </c>
      <c r="AL23" s="48">
        <v>312</v>
      </c>
      <c r="AM23" s="49" t="s">
        <v>47</v>
      </c>
      <c r="AN23" s="50">
        <f t="shared" si="1"/>
        <v>5928</v>
      </c>
      <c r="AO23" s="50">
        <f t="shared" si="2"/>
        <v>5928</v>
      </c>
    </row>
    <row r="24" spans="1:58" ht="35.4" thickBot="1" x14ac:dyDescent="0.7">
      <c r="A24" s="14">
        <v>19</v>
      </c>
      <c r="B24" s="24">
        <v>2520091246</v>
      </c>
      <c r="C24" s="25" t="s">
        <v>27</v>
      </c>
      <c r="D24" s="26" t="s">
        <v>38</v>
      </c>
      <c r="E24" s="27" t="s">
        <v>13</v>
      </c>
      <c r="F24" s="28" t="s">
        <v>14</v>
      </c>
      <c r="G24" s="29"/>
      <c r="H24" s="28" t="s">
        <v>14</v>
      </c>
      <c r="I24" s="28" t="s">
        <v>14</v>
      </c>
      <c r="J24" s="28" t="s">
        <v>14</v>
      </c>
      <c r="K24" s="28" t="s">
        <v>14</v>
      </c>
      <c r="L24" s="28" t="s">
        <v>14</v>
      </c>
      <c r="M24" s="28" t="s">
        <v>0</v>
      </c>
      <c r="N24" s="29" t="s">
        <v>14</v>
      </c>
      <c r="O24" s="28" t="s">
        <v>0</v>
      </c>
      <c r="P24" s="28" t="s">
        <v>0</v>
      </c>
      <c r="Q24" s="28" t="s">
        <v>0</v>
      </c>
      <c r="R24" s="28" t="s">
        <v>0</v>
      </c>
      <c r="S24" s="28" t="s">
        <v>0</v>
      </c>
      <c r="T24" s="28" t="s">
        <v>0</v>
      </c>
      <c r="U24" s="29"/>
      <c r="V24" s="28" t="s">
        <v>0</v>
      </c>
      <c r="W24" s="28" t="s">
        <v>0</v>
      </c>
      <c r="X24" s="28" t="s">
        <v>0</v>
      </c>
      <c r="Y24" s="28" t="s">
        <v>0</v>
      </c>
      <c r="Z24" s="28" t="s">
        <v>0</v>
      </c>
      <c r="AA24" s="28" t="s">
        <v>0</v>
      </c>
      <c r="AB24" s="29"/>
      <c r="AC24" s="28" t="s">
        <v>0</v>
      </c>
      <c r="AD24" s="28" t="s">
        <v>0</v>
      </c>
      <c r="AE24" s="28" t="s">
        <v>0</v>
      </c>
      <c r="AF24" s="28" t="s">
        <v>0</v>
      </c>
      <c r="AG24" s="28" t="s">
        <v>0</v>
      </c>
      <c r="AH24" s="28" t="s">
        <v>0</v>
      </c>
      <c r="AI24" s="29"/>
      <c r="AJ24" s="28" t="s">
        <v>0</v>
      </c>
      <c r="AK24" s="30">
        <f t="shared" si="0"/>
        <v>7</v>
      </c>
      <c r="AL24" s="48">
        <v>312</v>
      </c>
      <c r="AM24" s="49" t="s">
        <v>48</v>
      </c>
      <c r="AN24" s="50">
        <f t="shared" si="1"/>
        <v>2184</v>
      </c>
      <c r="AO24" s="50">
        <f t="shared" ref="AO24" si="3">(AN24)</f>
        <v>2184</v>
      </c>
    </row>
    <row r="25" spans="1:58" ht="36" thickTop="1" thickBot="1" x14ac:dyDescent="0.7">
      <c r="H25" s="10"/>
      <c r="AI25" s="51" t="s">
        <v>49</v>
      </c>
      <c r="AJ25" s="51"/>
      <c r="AK25" s="52">
        <f>SUM(AK6:AK24)</f>
        <v>263</v>
      </c>
      <c r="AL25" s="53">
        <v>312</v>
      </c>
      <c r="AM25" s="54"/>
      <c r="AN25" s="55"/>
      <c r="AO25" s="56">
        <f>SUM(AO6:AO24)</f>
        <v>82056</v>
      </c>
      <c r="AP25" s="12"/>
    </row>
    <row r="26" spans="1:58" x14ac:dyDescent="0.65">
      <c r="H26" s="10"/>
      <c r="AI26" s="12"/>
      <c r="AJ26" s="12"/>
      <c r="AK26" s="57"/>
      <c r="AL26" s="57"/>
      <c r="AM26" s="57"/>
      <c r="AN26" s="12"/>
      <c r="AO26" s="12"/>
      <c r="AP26" s="11"/>
    </row>
    <row r="27" spans="1:58" x14ac:dyDescent="0.65">
      <c r="H27" s="10"/>
    </row>
    <row r="28" spans="1:58" x14ac:dyDescent="0.65">
      <c r="H28" s="10"/>
      <c r="AL28" s="11"/>
      <c r="AM28" s="11"/>
      <c r="AN28" s="11"/>
    </row>
    <row r="29" spans="1:58" x14ac:dyDescent="0.65">
      <c r="H29" s="10"/>
    </row>
    <row r="30" spans="1:58" x14ac:dyDescent="0.65">
      <c r="H30" s="10"/>
    </row>
    <row r="31" spans="1:58" x14ac:dyDescent="0.65">
      <c r="H31" s="10"/>
    </row>
    <row r="32" spans="1:58" x14ac:dyDescent="0.65">
      <c r="H32" s="10"/>
      <c r="BF32" s="10"/>
    </row>
    <row r="33" spans="8:60" x14ac:dyDescent="0.65">
      <c r="H33" s="10"/>
      <c r="BF33" s="10"/>
    </row>
    <row r="34" spans="8:60" x14ac:dyDescent="0.65">
      <c r="H34" s="10"/>
      <c r="BH34" s="10"/>
    </row>
    <row r="35" spans="8:60" x14ac:dyDescent="0.65">
      <c r="H35" s="10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0"/>
    </row>
    <row r="36" spans="8:60" x14ac:dyDescent="0.65">
      <c r="H36" s="10"/>
      <c r="BH36" s="10"/>
    </row>
    <row r="37" spans="8:60" x14ac:dyDescent="0.65">
      <c r="H37" s="10"/>
    </row>
    <row r="38" spans="8:60" x14ac:dyDescent="0.65">
      <c r="H38" s="10"/>
    </row>
    <row r="39" spans="8:60" x14ac:dyDescent="0.65">
      <c r="H39" s="10"/>
    </row>
    <row r="40" spans="8:60" x14ac:dyDescent="0.65">
      <c r="H40" s="10"/>
    </row>
    <row r="41" spans="8:60" x14ac:dyDescent="0.65">
      <c r="H41" s="10"/>
    </row>
    <row r="42" spans="8:60" x14ac:dyDescent="0.65">
      <c r="H42" s="10"/>
    </row>
    <row r="43" spans="8:60" x14ac:dyDescent="0.65">
      <c r="H43" s="10"/>
    </row>
    <row r="44" spans="8:60" x14ac:dyDescent="0.65">
      <c r="H44" s="10"/>
    </row>
    <row r="45" spans="8:60" x14ac:dyDescent="0.65">
      <c r="H45" s="10"/>
    </row>
    <row r="46" spans="8:60" x14ac:dyDescent="0.65">
      <c r="H46" s="10"/>
    </row>
    <row r="47" spans="8:60" x14ac:dyDescent="0.65">
      <c r="H47" s="10"/>
    </row>
    <row r="48" spans="8:60" x14ac:dyDescent="0.65">
      <c r="H48" s="10"/>
    </row>
    <row r="49" spans="8:8" x14ac:dyDescent="0.65">
      <c r="H49" s="10"/>
    </row>
    <row r="50" spans="8:8" x14ac:dyDescent="0.65">
      <c r="H50" s="10"/>
    </row>
    <row r="51" spans="8:8" x14ac:dyDescent="0.65">
      <c r="H51" s="10"/>
    </row>
    <row r="52" spans="8:8" x14ac:dyDescent="0.65">
      <c r="H52" s="10"/>
    </row>
    <row r="53" spans="8:8" x14ac:dyDescent="0.65">
      <c r="H53" s="10"/>
    </row>
    <row r="54" spans="8:8" x14ac:dyDescent="0.65">
      <c r="H54" s="10"/>
    </row>
    <row r="55" spans="8:8" x14ac:dyDescent="0.65">
      <c r="H55" s="10"/>
    </row>
    <row r="56" spans="8:8" x14ac:dyDescent="0.65">
      <c r="H56" s="10"/>
    </row>
    <row r="57" spans="8:8" x14ac:dyDescent="0.65">
      <c r="H57" s="10"/>
    </row>
    <row r="58" spans="8:8" x14ac:dyDescent="0.65">
      <c r="H58" s="10"/>
    </row>
    <row r="59" spans="8:8" x14ac:dyDescent="0.65">
      <c r="H59" s="10"/>
    </row>
    <row r="60" spans="8:8" x14ac:dyDescent="0.65">
      <c r="H60" s="10"/>
    </row>
    <row r="61" spans="8:8" x14ac:dyDescent="0.65">
      <c r="H61" s="10"/>
    </row>
    <row r="62" spans="8:8" x14ac:dyDescent="0.65">
      <c r="H62" s="10"/>
    </row>
    <row r="63" spans="8:8" x14ac:dyDescent="0.65">
      <c r="H63" s="10"/>
    </row>
    <row r="64" spans="8:8" x14ac:dyDescent="0.65">
      <c r="H64" s="10"/>
    </row>
    <row r="65" spans="8:8" x14ac:dyDescent="0.65">
      <c r="H65" s="10"/>
    </row>
    <row r="66" spans="8:8" x14ac:dyDescent="0.65">
      <c r="H66" s="10"/>
    </row>
    <row r="67" spans="8:8" x14ac:dyDescent="0.65">
      <c r="H67" s="10"/>
    </row>
    <row r="68" spans="8:8" x14ac:dyDescent="0.65">
      <c r="H68" s="10"/>
    </row>
    <row r="69" spans="8:8" x14ac:dyDescent="0.65">
      <c r="H69" s="10"/>
    </row>
    <row r="70" spans="8:8" x14ac:dyDescent="0.65">
      <c r="H70" s="10"/>
    </row>
    <row r="71" spans="8:8" x14ac:dyDescent="0.65">
      <c r="H71" s="10"/>
    </row>
    <row r="72" spans="8:8" x14ac:dyDescent="0.65">
      <c r="H72" s="10"/>
    </row>
    <row r="73" spans="8:8" x14ac:dyDescent="0.65">
      <c r="H73" s="10"/>
    </row>
    <row r="74" spans="8:8" x14ac:dyDescent="0.65">
      <c r="H74" s="10"/>
    </row>
    <row r="75" spans="8:8" x14ac:dyDescent="0.65">
      <c r="H75" s="10"/>
    </row>
    <row r="76" spans="8:8" x14ac:dyDescent="0.65">
      <c r="H76" s="10"/>
    </row>
    <row r="77" spans="8:8" x14ac:dyDescent="0.65">
      <c r="H77" s="10"/>
    </row>
    <row r="78" spans="8:8" x14ac:dyDescent="0.65">
      <c r="H78" s="10"/>
    </row>
    <row r="79" spans="8:8" x14ac:dyDescent="0.65">
      <c r="H79" s="10"/>
    </row>
    <row r="80" spans="8:8" x14ac:dyDescent="0.65">
      <c r="H80" s="10"/>
    </row>
    <row r="81" spans="8:8" x14ac:dyDescent="0.65">
      <c r="H81" s="10"/>
    </row>
    <row r="82" spans="8:8" x14ac:dyDescent="0.65">
      <c r="H82" s="10"/>
    </row>
    <row r="83" spans="8:8" x14ac:dyDescent="0.65">
      <c r="H83" s="10"/>
    </row>
    <row r="84" spans="8:8" x14ac:dyDescent="0.65">
      <c r="H84" s="10"/>
    </row>
    <row r="85" spans="8:8" x14ac:dyDescent="0.65">
      <c r="H85" s="10"/>
    </row>
    <row r="86" spans="8:8" x14ac:dyDescent="0.65">
      <c r="H86" s="10"/>
    </row>
    <row r="87" spans="8:8" x14ac:dyDescent="0.65">
      <c r="H87" s="10"/>
    </row>
    <row r="88" spans="8:8" x14ac:dyDescent="0.65">
      <c r="H88" s="10"/>
    </row>
    <row r="89" spans="8:8" x14ac:dyDescent="0.65">
      <c r="H89" s="10"/>
    </row>
    <row r="90" spans="8:8" x14ac:dyDescent="0.65">
      <c r="H90" s="10"/>
    </row>
    <row r="91" spans="8:8" x14ac:dyDescent="0.65">
      <c r="H91" s="10"/>
    </row>
    <row r="92" spans="8:8" x14ac:dyDescent="0.65">
      <c r="H92" s="10"/>
    </row>
    <row r="93" spans="8:8" x14ac:dyDescent="0.65">
      <c r="H93" s="10"/>
    </row>
    <row r="94" spans="8:8" x14ac:dyDescent="0.65">
      <c r="H94" s="10"/>
    </row>
    <row r="95" spans="8:8" x14ac:dyDescent="0.65">
      <c r="H95" s="10"/>
    </row>
    <row r="96" spans="8:8" x14ac:dyDescent="0.65">
      <c r="H96" s="10"/>
    </row>
    <row r="97" spans="8:8" x14ac:dyDescent="0.65">
      <c r="H97" s="10"/>
    </row>
    <row r="98" spans="8:8" x14ac:dyDescent="0.65">
      <c r="H98" s="10"/>
    </row>
    <row r="99" spans="8:8" x14ac:dyDescent="0.65">
      <c r="H99" s="10"/>
    </row>
    <row r="100" spans="8:8" x14ac:dyDescent="0.65">
      <c r="H100" s="10"/>
    </row>
    <row r="101" spans="8:8" x14ac:dyDescent="0.65">
      <c r="H101" s="10"/>
    </row>
    <row r="102" spans="8:8" x14ac:dyDescent="0.65">
      <c r="H102" s="10"/>
    </row>
    <row r="103" spans="8:8" x14ac:dyDescent="0.65">
      <c r="H103" s="10"/>
    </row>
    <row r="104" spans="8:8" x14ac:dyDescent="0.65">
      <c r="H104" s="10"/>
    </row>
    <row r="105" spans="8:8" x14ac:dyDescent="0.65">
      <c r="H105" s="10"/>
    </row>
    <row r="106" spans="8:8" x14ac:dyDescent="0.65">
      <c r="H106" s="10"/>
    </row>
    <row r="107" spans="8:8" x14ac:dyDescent="0.65">
      <c r="H107" s="10"/>
    </row>
    <row r="108" spans="8:8" x14ac:dyDescent="0.65">
      <c r="H108" s="10"/>
    </row>
    <row r="109" spans="8:8" x14ac:dyDescent="0.65">
      <c r="H109" s="10"/>
    </row>
    <row r="110" spans="8:8" x14ac:dyDescent="0.65">
      <c r="H110" s="10"/>
    </row>
    <row r="111" spans="8:8" x14ac:dyDescent="0.65">
      <c r="H111" s="10"/>
    </row>
    <row r="112" spans="8:8" x14ac:dyDescent="0.65">
      <c r="H112" s="10"/>
    </row>
    <row r="113" spans="8:8" x14ac:dyDescent="0.65">
      <c r="H113" s="10"/>
    </row>
    <row r="114" spans="8:8" x14ac:dyDescent="0.65">
      <c r="H114" s="10"/>
    </row>
    <row r="115" spans="8:8" x14ac:dyDescent="0.65">
      <c r="H115" s="10"/>
    </row>
    <row r="116" spans="8:8" x14ac:dyDescent="0.65">
      <c r="H116" s="10"/>
    </row>
    <row r="117" spans="8:8" x14ac:dyDescent="0.65">
      <c r="H117" s="10"/>
    </row>
    <row r="118" spans="8:8" x14ac:dyDescent="0.65">
      <c r="H118" s="10"/>
    </row>
    <row r="119" spans="8:8" x14ac:dyDescent="0.65">
      <c r="H119" s="10"/>
    </row>
    <row r="120" spans="8:8" x14ac:dyDescent="0.65">
      <c r="H120" s="10"/>
    </row>
    <row r="121" spans="8:8" x14ac:dyDescent="0.65">
      <c r="H121" s="10"/>
    </row>
    <row r="122" spans="8:8" x14ac:dyDescent="0.65">
      <c r="H122" s="10"/>
    </row>
    <row r="123" spans="8:8" x14ac:dyDescent="0.65">
      <c r="H123" s="10"/>
    </row>
    <row r="124" spans="8:8" x14ac:dyDescent="0.65">
      <c r="H124" s="10"/>
    </row>
    <row r="125" spans="8:8" x14ac:dyDescent="0.65">
      <c r="H125" s="10"/>
    </row>
    <row r="126" spans="8:8" x14ac:dyDescent="0.65">
      <c r="H126" s="10"/>
    </row>
    <row r="127" spans="8:8" x14ac:dyDescent="0.65">
      <c r="H127" s="10"/>
    </row>
    <row r="128" spans="8:8" x14ac:dyDescent="0.65">
      <c r="H128" s="10"/>
    </row>
    <row r="129" spans="8:8" x14ac:dyDescent="0.65">
      <c r="H129" s="10"/>
    </row>
    <row r="130" spans="8:8" x14ac:dyDescent="0.65">
      <c r="H130" s="10"/>
    </row>
    <row r="131" spans="8:8" x14ac:dyDescent="0.65">
      <c r="H131" s="10"/>
    </row>
    <row r="132" spans="8:8" x14ac:dyDescent="0.65">
      <c r="H132" s="10"/>
    </row>
    <row r="133" spans="8:8" x14ac:dyDescent="0.65">
      <c r="H133" s="10"/>
    </row>
    <row r="134" spans="8:8" x14ac:dyDescent="0.65">
      <c r="H134" s="10"/>
    </row>
    <row r="135" spans="8:8" x14ac:dyDescent="0.65">
      <c r="H135" s="10"/>
    </row>
    <row r="136" spans="8:8" x14ac:dyDescent="0.65">
      <c r="H136" s="10"/>
    </row>
    <row r="137" spans="8:8" x14ac:dyDescent="0.65">
      <c r="H137" s="10"/>
    </row>
    <row r="138" spans="8:8" x14ac:dyDescent="0.65">
      <c r="H138" s="10"/>
    </row>
    <row r="139" spans="8:8" x14ac:dyDescent="0.65">
      <c r="H139" s="10"/>
    </row>
    <row r="140" spans="8:8" x14ac:dyDescent="0.65">
      <c r="H140" s="10"/>
    </row>
    <row r="141" spans="8:8" x14ac:dyDescent="0.65">
      <c r="H141" s="10"/>
    </row>
    <row r="142" spans="8:8" x14ac:dyDescent="0.65">
      <c r="H142" s="10"/>
    </row>
    <row r="146" spans="8:40" x14ac:dyDescent="0.65"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59" spans="8:40" x14ac:dyDescent="0.65">
      <c r="AL159" s="11"/>
      <c r="AM159" s="11"/>
      <c r="AN159" s="11"/>
    </row>
    <row r="166" spans="41:46" x14ac:dyDescent="0.65">
      <c r="AO166" s="11"/>
      <c r="AP166" s="11"/>
      <c r="AQ166" s="11"/>
      <c r="AR166" s="11"/>
      <c r="AS166" s="11"/>
      <c r="AT166" s="11"/>
    </row>
    <row r="174" spans="41:46" ht="19.8" customHeight="1" x14ac:dyDescent="0.65"/>
    <row r="177" spans="1:46" s="11" customFormat="1" ht="58.8" customHeight="1" x14ac:dyDescent="0.65">
      <c r="A177" s="2"/>
      <c r="B177" s="2"/>
      <c r="C177" s="2"/>
      <c r="D177" s="1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</sheetData>
  <mergeCells count="9">
    <mergeCell ref="AL4:AL5"/>
    <mergeCell ref="AM4:AM5"/>
    <mergeCell ref="AN4:AN5"/>
    <mergeCell ref="AO4:AO5"/>
    <mergeCell ref="G1:AK3"/>
    <mergeCell ref="A4:A5"/>
    <mergeCell ref="B4:B5"/>
    <mergeCell ref="C4:C5"/>
    <mergeCell ref="E4:E5"/>
  </mergeCells>
  <phoneticPr fontId="1" type="noConversion"/>
  <conditionalFormatting sqref="M6:N6 U6:X6 AD19 AE16:AE19 F6:G19 F20:F24 N7:N19 N24:U24 N20:T23 W7:X19 W20:AJ24 Y6:AC19 AD6:AE15 AF6:AJ19 M7:M24 V7:V24 U7:U23">
    <cfRule type="containsText" dxfId="26" priority="38" operator="containsText" text="A">
      <formula>NOT(ISERROR(SEARCH("A",F6)))</formula>
    </cfRule>
  </conditionalFormatting>
  <conditionalFormatting sqref="AD16:AD18">
    <cfRule type="containsText" dxfId="25" priority="32" operator="containsText" text="A">
      <formula>NOT(ISERROR(SEARCH("A",AD16)))</formula>
    </cfRule>
  </conditionalFormatting>
  <conditionalFormatting sqref="G20:G24">
    <cfRule type="containsText" dxfId="24" priority="19" operator="containsText" text="A">
      <formula>NOT(ISERROR(SEARCH("A",G20)))</formula>
    </cfRule>
  </conditionalFormatting>
  <conditionalFormatting sqref="G6:G16">
    <cfRule type="containsText" dxfId="23" priority="13" operator="containsText" text="A">
      <formula>NOT(ISERROR(SEARCH("A",G6)))</formula>
    </cfRule>
  </conditionalFormatting>
  <conditionalFormatting sqref="I11:L19">
    <cfRule type="containsText" dxfId="22" priority="12" operator="containsText" text="A">
      <formula>NOT(ISERROR(SEARCH("A",I11)))</formula>
    </cfRule>
  </conditionalFormatting>
  <conditionalFormatting sqref="H6:H19 I6:L10">
    <cfRule type="containsText" dxfId="21" priority="11" operator="containsText" text="A">
      <formula>NOT(ISERROR(SEARCH("A",H6)))</formula>
    </cfRule>
  </conditionalFormatting>
  <conditionalFormatting sqref="H20:L24">
    <cfRule type="containsText" dxfId="20" priority="9" operator="containsText" text="A">
      <formula>NOT(ISERROR(SEARCH("A",H20)))</formula>
    </cfRule>
  </conditionalFormatting>
  <conditionalFormatting sqref="O6:T19">
    <cfRule type="containsText" dxfId="19" priority="2" operator="containsText" text="A">
      <formula>NOT(ISERROR(SEARCH("A",O6)))</formula>
    </cfRule>
  </conditionalFormatting>
  <pageMargins left="0.7" right="0.7" top="0.75" bottom="0.75" header="0.3" footer="0.3"/>
  <pageSetup paperSize="8" scale="24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965B-1FB0-4A6C-BAC4-FBF0AC71AC29}">
  <sheetPr>
    <pageSetUpPr fitToPage="1"/>
  </sheetPr>
  <dimension ref="A1:BF176"/>
  <sheetViews>
    <sheetView showGridLines="0" zoomScale="44" workbookViewId="0">
      <pane xSplit="5" ySplit="4" topLeftCell="U5" activePane="bottomRight" state="frozen"/>
      <selection pane="topRight" activeCell="E1" sqref="E1"/>
      <selection pane="bottomLeft" activeCell="A5" sqref="A5"/>
      <selection pane="bottomRight" activeCell="AL6" sqref="AL6:AL23"/>
    </sheetView>
  </sheetViews>
  <sheetFormatPr defaultRowHeight="34.799999999999997" x14ac:dyDescent="0.65"/>
  <cols>
    <col min="1" max="1" width="12.44140625" style="12" bestFit="1" customWidth="1"/>
    <col min="2" max="2" width="30.21875" style="12" bestFit="1" customWidth="1"/>
    <col min="3" max="3" width="56" style="12" bestFit="1" customWidth="1"/>
    <col min="4" max="4" width="28.21875" style="12" customWidth="1"/>
    <col min="5" max="5" width="47.109375" style="12" customWidth="1"/>
    <col min="6" max="12" width="12.21875" style="12" bestFit="1" customWidth="1"/>
    <col min="13" max="13" width="13.44140625" style="12" bestFit="1" customWidth="1"/>
    <col min="14" max="33" width="12.21875" style="12" bestFit="1" customWidth="1"/>
    <col min="34" max="34" width="25.44140625" style="12" bestFit="1" customWidth="1"/>
    <col min="35" max="35" width="29.44140625" style="12" bestFit="1" customWidth="1"/>
    <col min="36" max="36" width="20.6640625" style="12" bestFit="1" customWidth="1"/>
    <col min="37" max="37" width="33.5546875" style="12" bestFit="1" customWidth="1"/>
    <col min="38" max="38" width="37.109375" style="12" bestFit="1" customWidth="1"/>
    <col min="39" max="39" width="12.21875" style="12" bestFit="1" customWidth="1"/>
    <col min="40" max="40" width="12.21875" style="12" customWidth="1"/>
    <col min="41" max="56" width="12.21875" style="12" bestFit="1" customWidth="1"/>
    <col min="57" max="57" width="22.44140625" style="12" bestFit="1" customWidth="1"/>
    <col min="58" max="16384" width="8.88671875" style="12"/>
  </cols>
  <sheetData>
    <row r="1" spans="1:38" x14ac:dyDescent="0.65">
      <c r="F1" s="32" t="s">
        <v>40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8" x14ac:dyDescent="0.65"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3" spans="1:38" x14ac:dyDescent="0.65"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</row>
    <row r="4" spans="1:38" ht="104.4" customHeight="1" x14ac:dyDescent="0.65">
      <c r="A4" s="35" t="s">
        <v>11</v>
      </c>
      <c r="B4" s="37" t="s">
        <v>10</v>
      </c>
      <c r="C4" s="37" t="s">
        <v>9</v>
      </c>
      <c r="D4" s="13" t="s">
        <v>35</v>
      </c>
      <c r="E4" s="37" t="s">
        <v>12</v>
      </c>
      <c r="F4" s="3">
        <v>46054</v>
      </c>
      <c r="G4" s="3">
        <v>46055</v>
      </c>
      <c r="H4" s="3">
        <v>46056</v>
      </c>
      <c r="I4" s="3">
        <v>46057</v>
      </c>
      <c r="J4" s="3">
        <v>46058</v>
      </c>
      <c r="K4" s="3">
        <v>46059</v>
      </c>
      <c r="L4" s="3">
        <v>46060</v>
      </c>
      <c r="M4" s="3">
        <v>46061</v>
      </c>
      <c r="N4" s="3">
        <v>46062</v>
      </c>
      <c r="O4" s="3">
        <v>46063</v>
      </c>
      <c r="P4" s="3">
        <v>46064</v>
      </c>
      <c r="Q4" s="3">
        <v>46065</v>
      </c>
      <c r="R4" s="3">
        <v>46066</v>
      </c>
      <c r="S4" s="3">
        <v>46067</v>
      </c>
      <c r="T4" s="3">
        <v>46068</v>
      </c>
      <c r="U4" s="3">
        <v>46069</v>
      </c>
      <c r="V4" s="3">
        <v>46070</v>
      </c>
      <c r="W4" s="3">
        <v>46071</v>
      </c>
      <c r="X4" s="3">
        <v>46072</v>
      </c>
      <c r="Y4" s="3">
        <v>46073</v>
      </c>
      <c r="Z4" s="3">
        <v>46074</v>
      </c>
      <c r="AA4" s="3">
        <v>46075</v>
      </c>
      <c r="AB4" s="3">
        <v>46076</v>
      </c>
      <c r="AC4" s="3">
        <v>46077</v>
      </c>
      <c r="AD4" s="3">
        <v>46078</v>
      </c>
      <c r="AE4" s="3">
        <v>46079</v>
      </c>
      <c r="AF4" s="3">
        <v>46080</v>
      </c>
      <c r="AG4" s="3">
        <v>46081</v>
      </c>
      <c r="AH4" s="4" t="s">
        <v>15</v>
      </c>
      <c r="AI4" s="46" t="s">
        <v>43</v>
      </c>
      <c r="AJ4" s="46" t="s">
        <v>44</v>
      </c>
      <c r="AK4" s="46" t="s">
        <v>45</v>
      </c>
      <c r="AL4" s="46" t="s">
        <v>46</v>
      </c>
    </row>
    <row r="5" spans="1:38" x14ac:dyDescent="0.65">
      <c r="A5" s="36"/>
      <c r="B5" s="38"/>
      <c r="C5" s="38"/>
      <c r="D5" s="20"/>
      <c r="E5" s="38"/>
      <c r="F5" s="6" t="s">
        <v>7</v>
      </c>
      <c r="G5" s="6" t="s">
        <v>6</v>
      </c>
      <c r="H5" s="6" t="s">
        <v>5</v>
      </c>
      <c r="I5" s="6" t="s">
        <v>4</v>
      </c>
      <c r="J5" s="6" t="s">
        <v>3</v>
      </c>
      <c r="K5" s="6" t="s">
        <v>2</v>
      </c>
      <c r="L5" s="6" t="s">
        <v>1</v>
      </c>
      <c r="M5" s="6" t="s">
        <v>7</v>
      </c>
      <c r="N5" s="6" t="s">
        <v>6</v>
      </c>
      <c r="O5" s="6" t="s">
        <v>5</v>
      </c>
      <c r="P5" s="6" t="s">
        <v>4</v>
      </c>
      <c r="Q5" s="6" t="s">
        <v>3</v>
      </c>
      <c r="R5" s="6" t="s">
        <v>2</v>
      </c>
      <c r="S5" s="6" t="s">
        <v>1</v>
      </c>
      <c r="T5" s="6" t="s">
        <v>7</v>
      </c>
      <c r="U5" s="6" t="s">
        <v>6</v>
      </c>
      <c r="V5" s="6" t="s">
        <v>5</v>
      </c>
      <c r="W5" s="6" t="s">
        <v>4</v>
      </c>
      <c r="X5" s="6" t="s">
        <v>3</v>
      </c>
      <c r="Y5" s="6" t="s">
        <v>2</v>
      </c>
      <c r="Z5" s="6" t="s">
        <v>1</v>
      </c>
      <c r="AA5" s="6" t="s">
        <v>7</v>
      </c>
      <c r="AB5" s="6" t="s">
        <v>6</v>
      </c>
      <c r="AC5" s="6" t="s">
        <v>5</v>
      </c>
      <c r="AD5" s="6" t="s">
        <v>4</v>
      </c>
      <c r="AE5" s="6" t="s">
        <v>3</v>
      </c>
      <c r="AF5" s="6" t="s">
        <v>2</v>
      </c>
      <c r="AG5" s="6" t="s">
        <v>1</v>
      </c>
      <c r="AH5" s="47"/>
      <c r="AI5" s="46"/>
      <c r="AJ5" s="46"/>
      <c r="AK5" s="46"/>
      <c r="AL5" s="46"/>
    </row>
    <row r="6" spans="1:38" x14ac:dyDescent="0.65">
      <c r="A6" s="14">
        <v>1</v>
      </c>
      <c r="B6" s="17">
        <v>2591042771</v>
      </c>
      <c r="C6" s="18" t="s">
        <v>16</v>
      </c>
      <c r="D6" s="21" t="s">
        <v>37</v>
      </c>
      <c r="E6" s="7" t="s">
        <v>13</v>
      </c>
      <c r="F6" s="22" t="s">
        <v>14</v>
      </c>
      <c r="G6" s="22" t="s">
        <v>14</v>
      </c>
      <c r="H6" s="22" t="s">
        <v>0</v>
      </c>
      <c r="I6" s="22" t="s">
        <v>0</v>
      </c>
      <c r="J6" s="22" t="s">
        <v>0</v>
      </c>
      <c r="K6" s="23"/>
      <c r="L6" s="22" t="s">
        <v>0</v>
      </c>
      <c r="M6" s="22" t="s">
        <v>14</v>
      </c>
      <c r="N6" s="22" t="s">
        <v>14</v>
      </c>
      <c r="O6" s="22" t="s">
        <v>14</v>
      </c>
      <c r="P6" s="22" t="s">
        <v>0</v>
      </c>
      <c r="Q6" s="22" t="s">
        <v>14</v>
      </c>
      <c r="R6" s="23"/>
      <c r="S6" s="22" t="s">
        <v>0</v>
      </c>
      <c r="T6" s="22" t="s">
        <v>14</v>
      </c>
      <c r="U6" s="22" t="s">
        <v>0</v>
      </c>
      <c r="V6" s="22" t="s">
        <v>14</v>
      </c>
      <c r="W6" s="22" t="s">
        <v>0</v>
      </c>
      <c r="X6" s="22" t="s">
        <v>0</v>
      </c>
      <c r="Y6" s="39" t="s">
        <v>0</v>
      </c>
      <c r="Z6" s="40"/>
      <c r="AA6" s="40"/>
      <c r="AB6" s="40"/>
      <c r="AC6" s="41"/>
      <c r="AD6" s="22" t="s">
        <v>14</v>
      </c>
      <c r="AE6" s="22" t="s">
        <v>14</v>
      </c>
      <c r="AF6" s="23"/>
      <c r="AG6" s="22" t="s">
        <v>0</v>
      </c>
      <c r="AH6" s="9">
        <f t="shared" ref="AH6:AH23" si="0">COUNTIF(F6:AG6,"P")</f>
        <v>10</v>
      </c>
      <c r="AI6" s="48">
        <v>312</v>
      </c>
      <c r="AJ6" s="49" t="s">
        <v>47</v>
      </c>
      <c r="AK6" s="50">
        <f>(AH6*AI6)</f>
        <v>3120</v>
      </c>
      <c r="AL6" s="50">
        <f>(AK6)</f>
        <v>3120</v>
      </c>
    </row>
    <row r="7" spans="1:38" x14ac:dyDescent="0.65">
      <c r="A7" s="14">
        <v>2</v>
      </c>
      <c r="B7" s="17">
        <v>2534020728</v>
      </c>
      <c r="C7" s="18" t="s">
        <v>17</v>
      </c>
      <c r="D7" s="15" t="s">
        <v>37</v>
      </c>
      <c r="E7" s="7" t="s">
        <v>13</v>
      </c>
      <c r="F7" s="22" t="s">
        <v>14</v>
      </c>
      <c r="G7" s="22" t="s">
        <v>14</v>
      </c>
      <c r="H7" s="22" t="s">
        <v>14</v>
      </c>
      <c r="I7" s="22" t="s">
        <v>0</v>
      </c>
      <c r="J7" s="22" t="s">
        <v>14</v>
      </c>
      <c r="K7" s="23"/>
      <c r="L7" s="22" t="s">
        <v>0</v>
      </c>
      <c r="M7" s="22" t="s">
        <v>14</v>
      </c>
      <c r="N7" s="22" t="s">
        <v>14</v>
      </c>
      <c r="O7" s="22" t="s">
        <v>14</v>
      </c>
      <c r="P7" s="22" t="s">
        <v>0</v>
      </c>
      <c r="Q7" s="22" t="s">
        <v>14</v>
      </c>
      <c r="R7" s="23"/>
      <c r="S7" s="22" t="s">
        <v>0</v>
      </c>
      <c r="T7" s="22" t="s">
        <v>14</v>
      </c>
      <c r="U7" s="22" t="s">
        <v>14</v>
      </c>
      <c r="V7" s="22" t="s">
        <v>14</v>
      </c>
      <c r="W7" s="22" t="s">
        <v>14</v>
      </c>
      <c r="X7" s="22" t="s">
        <v>14</v>
      </c>
      <c r="Y7" s="42"/>
      <c r="Z7" s="43"/>
      <c r="AA7" s="43"/>
      <c r="AB7" s="43"/>
      <c r="AC7" s="44"/>
      <c r="AD7" s="22" t="s">
        <v>14</v>
      </c>
      <c r="AE7" s="22" t="s">
        <v>14</v>
      </c>
      <c r="AF7" s="23"/>
      <c r="AG7" s="22" t="s">
        <v>14</v>
      </c>
      <c r="AH7" s="9">
        <f t="shared" si="0"/>
        <v>16</v>
      </c>
      <c r="AI7" s="48">
        <v>312</v>
      </c>
      <c r="AJ7" s="49" t="s">
        <v>47</v>
      </c>
      <c r="AK7" s="50">
        <f t="shared" ref="AK7:AK23" si="1">(AH7*AI7)</f>
        <v>4992</v>
      </c>
      <c r="AL7" s="50">
        <f t="shared" ref="AL7:AL23" si="2">(AK7)</f>
        <v>4992</v>
      </c>
    </row>
    <row r="8" spans="1:38" x14ac:dyDescent="0.65">
      <c r="A8" s="14">
        <v>3</v>
      </c>
      <c r="B8" s="17">
        <v>2512988557</v>
      </c>
      <c r="C8" s="18" t="s">
        <v>18</v>
      </c>
      <c r="D8" s="15" t="s">
        <v>37</v>
      </c>
      <c r="E8" s="7" t="s">
        <v>13</v>
      </c>
      <c r="F8" s="22" t="s">
        <v>0</v>
      </c>
      <c r="G8" s="22" t="s">
        <v>0</v>
      </c>
      <c r="H8" s="22" t="s">
        <v>14</v>
      </c>
      <c r="I8" s="22" t="s">
        <v>14</v>
      </c>
      <c r="J8" s="22" t="s">
        <v>14</v>
      </c>
      <c r="K8" s="23"/>
      <c r="L8" s="22" t="s">
        <v>0</v>
      </c>
      <c r="M8" s="22" t="s">
        <v>0</v>
      </c>
      <c r="N8" s="22" t="s">
        <v>0</v>
      </c>
      <c r="O8" s="22" t="s">
        <v>14</v>
      </c>
      <c r="P8" s="22" t="s">
        <v>0</v>
      </c>
      <c r="Q8" s="22" t="s">
        <v>14</v>
      </c>
      <c r="R8" s="23"/>
      <c r="S8" s="22" t="s">
        <v>0</v>
      </c>
      <c r="T8" s="22" t="s">
        <v>0</v>
      </c>
      <c r="U8" s="22" t="s">
        <v>14</v>
      </c>
      <c r="V8" s="22" t="s">
        <v>14</v>
      </c>
      <c r="W8" s="22" t="s">
        <v>0</v>
      </c>
      <c r="X8" s="22" t="s">
        <v>0</v>
      </c>
      <c r="Y8" s="42"/>
      <c r="Z8" s="43"/>
      <c r="AA8" s="43"/>
      <c r="AB8" s="43"/>
      <c r="AC8" s="44"/>
      <c r="AD8" s="22" t="s">
        <v>14</v>
      </c>
      <c r="AE8" s="22" t="s">
        <v>14</v>
      </c>
      <c r="AF8" s="23"/>
      <c r="AG8" s="22" t="s">
        <v>14</v>
      </c>
      <c r="AH8" s="9">
        <f t="shared" si="0"/>
        <v>10</v>
      </c>
      <c r="AI8" s="48">
        <v>312</v>
      </c>
      <c r="AJ8" s="49" t="s">
        <v>47</v>
      </c>
      <c r="AK8" s="50">
        <f t="shared" si="1"/>
        <v>3120</v>
      </c>
      <c r="AL8" s="50">
        <f t="shared" si="2"/>
        <v>3120</v>
      </c>
    </row>
    <row r="9" spans="1:38" x14ac:dyDescent="0.65">
      <c r="A9" s="14">
        <v>4</v>
      </c>
      <c r="B9" s="17">
        <v>2356387940</v>
      </c>
      <c r="C9" s="18" t="s">
        <v>19</v>
      </c>
      <c r="D9" s="15" t="s">
        <v>37</v>
      </c>
      <c r="E9" s="7" t="s">
        <v>13</v>
      </c>
      <c r="F9" s="22" t="s">
        <v>0</v>
      </c>
      <c r="G9" s="22" t="s">
        <v>0</v>
      </c>
      <c r="H9" s="22" t="s">
        <v>14</v>
      </c>
      <c r="I9" s="22" t="s">
        <v>14</v>
      </c>
      <c r="J9" s="22" t="s">
        <v>14</v>
      </c>
      <c r="K9" s="23"/>
      <c r="L9" s="22" t="s">
        <v>0</v>
      </c>
      <c r="M9" s="22" t="s">
        <v>0</v>
      </c>
      <c r="N9" s="22" t="s">
        <v>0</v>
      </c>
      <c r="O9" s="22" t="s">
        <v>14</v>
      </c>
      <c r="P9" s="22" t="s">
        <v>14</v>
      </c>
      <c r="Q9" s="22" t="s">
        <v>0</v>
      </c>
      <c r="R9" s="23"/>
      <c r="S9" s="22" t="s">
        <v>0</v>
      </c>
      <c r="T9" s="22" t="s">
        <v>0</v>
      </c>
      <c r="U9" s="22" t="s">
        <v>14</v>
      </c>
      <c r="V9" s="22" t="s">
        <v>14</v>
      </c>
      <c r="W9" s="22" t="s">
        <v>14</v>
      </c>
      <c r="X9" s="22" t="s">
        <v>14</v>
      </c>
      <c r="Y9" s="42"/>
      <c r="Z9" s="43"/>
      <c r="AA9" s="43"/>
      <c r="AB9" s="43"/>
      <c r="AC9" s="44"/>
      <c r="AD9" s="22" t="s">
        <v>14</v>
      </c>
      <c r="AE9" s="22" t="s">
        <v>14</v>
      </c>
      <c r="AF9" s="23"/>
      <c r="AG9" s="22" t="s">
        <v>14</v>
      </c>
      <c r="AH9" s="9">
        <f t="shared" si="0"/>
        <v>12</v>
      </c>
      <c r="AI9" s="48">
        <v>312</v>
      </c>
      <c r="AJ9" s="49" t="s">
        <v>47</v>
      </c>
      <c r="AK9" s="50">
        <f t="shared" si="1"/>
        <v>3744</v>
      </c>
      <c r="AL9" s="50">
        <f t="shared" si="2"/>
        <v>3744</v>
      </c>
    </row>
    <row r="10" spans="1:38" x14ac:dyDescent="0.65">
      <c r="A10" s="14">
        <v>5</v>
      </c>
      <c r="B10" s="17">
        <v>2356387940</v>
      </c>
      <c r="C10" s="18" t="s">
        <v>20</v>
      </c>
      <c r="D10" s="16" t="s">
        <v>37</v>
      </c>
      <c r="E10" s="7" t="s">
        <v>13</v>
      </c>
      <c r="F10" s="22" t="s">
        <v>0</v>
      </c>
      <c r="G10" s="22" t="s">
        <v>0</v>
      </c>
      <c r="H10" s="22" t="s">
        <v>0</v>
      </c>
      <c r="I10" s="22" t="s">
        <v>14</v>
      </c>
      <c r="J10" s="22" t="s">
        <v>0</v>
      </c>
      <c r="K10" s="23"/>
      <c r="L10" s="22" t="s">
        <v>0</v>
      </c>
      <c r="M10" s="22" t="s">
        <v>0</v>
      </c>
      <c r="N10" s="22" t="s">
        <v>0</v>
      </c>
      <c r="O10" s="22" t="s">
        <v>14</v>
      </c>
      <c r="P10" s="22" t="s">
        <v>14</v>
      </c>
      <c r="Q10" s="22" t="s">
        <v>0</v>
      </c>
      <c r="R10" s="23"/>
      <c r="S10" s="22" t="s">
        <v>0</v>
      </c>
      <c r="T10" s="22" t="s">
        <v>0</v>
      </c>
      <c r="U10" s="22" t="s">
        <v>14</v>
      </c>
      <c r="V10" s="22" t="s">
        <v>14</v>
      </c>
      <c r="W10" s="22" t="s">
        <v>0</v>
      </c>
      <c r="X10" s="22" t="s">
        <v>0</v>
      </c>
      <c r="Y10" s="42"/>
      <c r="Z10" s="43"/>
      <c r="AA10" s="43"/>
      <c r="AB10" s="43"/>
      <c r="AC10" s="44"/>
      <c r="AD10" s="22" t="s">
        <v>0</v>
      </c>
      <c r="AE10" s="22" t="s">
        <v>0</v>
      </c>
      <c r="AF10" s="23"/>
      <c r="AG10" s="22" t="s">
        <v>14</v>
      </c>
      <c r="AH10" s="9">
        <f t="shared" si="0"/>
        <v>6</v>
      </c>
      <c r="AI10" s="48">
        <v>312</v>
      </c>
      <c r="AJ10" s="49" t="s">
        <v>47</v>
      </c>
      <c r="AK10" s="50">
        <f t="shared" si="1"/>
        <v>1872</v>
      </c>
      <c r="AL10" s="50">
        <f t="shared" si="2"/>
        <v>1872</v>
      </c>
    </row>
    <row r="11" spans="1:38" x14ac:dyDescent="0.65">
      <c r="A11" s="14">
        <v>6</v>
      </c>
      <c r="B11" s="17">
        <v>2516084932</v>
      </c>
      <c r="C11" s="18" t="s">
        <v>21</v>
      </c>
      <c r="D11" s="15" t="s">
        <v>37</v>
      </c>
      <c r="E11" s="7" t="s">
        <v>13</v>
      </c>
      <c r="F11" s="22" t="s">
        <v>0</v>
      </c>
      <c r="G11" s="22" t="s">
        <v>0</v>
      </c>
      <c r="H11" s="22" t="s">
        <v>0</v>
      </c>
      <c r="I11" s="22" t="s">
        <v>0</v>
      </c>
      <c r="J11" s="22" t="s">
        <v>0</v>
      </c>
      <c r="K11" s="23"/>
      <c r="L11" s="22" t="s">
        <v>0</v>
      </c>
      <c r="M11" s="22" t="s">
        <v>0</v>
      </c>
      <c r="N11" s="22" t="s">
        <v>0</v>
      </c>
      <c r="O11" s="22" t="s">
        <v>14</v>
      </c>
      <c r="P11" s="22" t="s">
        <v>14</v>
      </c>
      <c r="Q11" s="22" t="s">
        <v>0</v>
      </c>
      <c r="R11" s="23"/>
      <c r="S11" s="22" t="s">
        <v>0</v>
      </c>
      <c r="T11" s="22" t="s">
        <v>0</v>
      </c>
      <c r="U11" s="22" t="s">
        <v>0</v>
      </c>
      <c r="V11" s="22" t="s">
        <v>0</v>
      </c>
      <c r="W11" s="22" t="s">
        <v>0</v>
      </c>
      <c r="X11" s="22" t="s">
        <v>0</v>
      </c>
      <c r="Y11" s="42"/>
      <c r="Z11" s="43"/>
      <c r="AA11" s="43"/>
      <c r="AB11" s="43"/>
      <c r="AC11" s="44"/>
      <c r="AD11" s="22" t="s">
        <v>0</v>
      </c>
      <c r="AE11" s="22" t="s">
        <v>0</v>
      </c>
      <c r="AF11" s="23"/>
      <c r="AG11" s="22" t="s">
        <v>0</v>
      </c>
      <c r="AH11" s="9">
        <f t="shared" si="0"/>
        <v>2</v>
      </c>
      <c r="AI11" s="48">
        <v>312</v>
      </c>
      <c r="AJ11" s="49" t="s">
        <v>47</v>
      </c>
      <c r="AK11" s="50">
        <f t="shared" si="1"/>
        <v>624</v>
      </c>
      <c r="AL11" s="50">
        <f t="shared" si="2"/>
        <v>624</v>
      </c>
    </row>
    <row r="12" spans="1:38" x14ac:dyDescent="0.65">
      <c r="A12" s="14">
        <v>7</v>
      </c>
      <c r="B12" s="17">
        <v>2534020967</v>
      </c>
      <c r="C12" s="18" t="s">
        <v>22</v>
      </c>
      <c r="D12" s="15" t="s">
        <v>37</v>
      </c>
      <c r="E12" s="7" t="s">
        <v>13</v>
      </c>
      <c r="F12" s="22" t="s">
        <v>0</v>
      </c>
      <c r="G12" s="22" t="s">
        <v>0</v>
      </c>
      <c r="H12" s="22" t="s">
        <v>0</v>
      </c>
      <c r="I12" s="22" t="s">
        <v>0</v>
      </c>
      <c r="J12" s="22" t="s">
        <v>0</v>
      </c>
      <c r="K12" s="23"/>
      <c r="L12" s="22" t="s">
        <v>0</v>
      </c>
      <c r="M12" s="22" t="s">
        <v>0</v>
      </c>
      <c r="N12" s="22" t="s">
        <v>0</v>
      </c>
      <c r="O12" s="22" t="s">
        <v>14</v>
      </c>
      <c r="P12" s="22" t="s">
        <v>14</v>
      </c>
      <c r="Q12" s="22" t="s">
        <v>0</v>
      </c>
      <c r="R12" s="23"/>
      <c r="S12" s="22" t="s">
        <v>0</v>
      </c>
      <c r="T12" s="22" t="s">
        <v>0</v>
      </c>
      <c r="U12" s="22" t="s">
        <v>0</v>
      </c>
      <c r="V12" s="22" t="s">
        <v>0</v>
      </c>
      <c r="W12" s="22" t="s">
        <v>0</v>
      </c>
      <c r="X12" s="22" t="s">
        <v>0</v>
      </c>
      <c r="Y12" s="42"/>
      <c r="Z12" s="43"/>
      <c r="AA12" s="43"/>
      <c r="AB12" s="43"/>
      <c r="AC12" s="44"/>
      <c r="AD12" s="22" t="s">
        <v>0</v>
      </c>
      <c r="AE12" s="22" t="s">
        <v>0</v>
      </c>
      <c r="AF12" s="23"/>
      <c r="AG12" s="22" t="s">
        <v>0</v>
      </c>
      <c r="AH12" s="9">
        <f t="shared" si="0"/>
        <v>2</v>
      </c>
      <c r="AI12" s="48">
        <v>312</v>
      </c>
      <c r="AJ12" s="49" t="s">
        <v>47</v>
      </c>
      <c r="AK12" s="50">
        <f t="shared" si="1"/>
        <v>624</v>
      </c>
      <c r="AL12" s="50">
        <f t="shared" si="2"/>
        <v>624</v>
      </c>
    </row>
    <row r="13" spans="1:38" x14ac:dyDescent="0.65">
      <c r="A13" s="14">
        <v>8</v>
      </c>
      <c r="B13" s="17">
        <v>2597371760</v>
      </c>
      <c r="C13" s="18" t="s">
        <v>29</v>
      </c>
      <c r="D13" s="15" t="s">
        <v>37</v>
      </c>
      <c r="E13" s="7" t="s">
        <v>13</v>
      </c>
      <c r="F13" s="22" t="s">
        <v>0</v>
      </c>
      <c r="G13" s="22" t="s">
        <v>0</v>
      </c>
      <c r="H13" s="22" t="s">
        <v>0</v>
      </c>
      <c r="I13" s="22" t="s">
        <v>0</v>
      </c>
      <c r="J13" s="22" t="s">
        <v>0</v>
      </c>
      <c r="K13" s="23"/>
      <c r="L13" s="22" t="s">
        <v>0</v>
      </c>
      <c r="M13" s="22" t="s">
        <v>0</v>
      </c>
      <c r="N13" s="22" t="s">
        <v>0</v>
      </c>
      <c r="O13" s="22" t="s">
        <v>14</v>
      </c>
      <c r="P13" s="22" t="s">
        <v>14</v>
      </c>
      <c r="Q13" s="22" t="s">
        <v>0</v>
      </c>
      <c r="R13" s="23"/>
      <c r="S13" s="22" t="s">
        <v>0</v>
      </c>
      <c r="T13" s="22" t="s">
        <v>0</v>
      </c>
      <c r="U13" s="22" t="s">
        <v>0</v>
      </c>
      <c r="V13" s="22" t="s">
        <v>0</v>
      </c>
      <c r="W13" s="22" t="s">
        <v>0</v>
      </c>
      <c r="X13" s="22" t="s">
        <v>0</v>
      </c>
      <c r="Y13" s="42"/>
      <c r="Z13" s="43"/>
      <c r="AA13" s="43"/>
      <c r="AB13" s="43"/>
      <c r="AC13" s="44"/>
      <c r="AD13" s="22" t="s">
        <v>0</v>
      </c>
      <c r="AE13" s="22" t="s">
        <v>0</v>
      </c>
      <c r="AF13" s="23"/>
      <c r="AG13" s="22" t="s">
        <v>0</v>
      </c>
      <c r="AH13" s="9">
        <f t="shared" si="0"/>
        <v>2</v>
      </c>
      <c r="AI13" s="48">
        <v>312</v>
      </c>
      <c r="AJ13" s="49" t="s">
        <v>47</v>
      </c>
      <c r="AK13" s="50">
        <f t="shared" si="1"/>
        <v>624</v>
      </c>
      <c r="AL13" s="50">
        <f t="shared" si="2"/>
        <v>624</v>
      </c>
    </row>
    <row r="14" spans="1:38" x14ac:dyDescent="0.65">
      <c r="A14" s="14">
        <v>9</v>
      </c>
      <c r="B14" s="17">
        <v>2567908815</v>
      </c>
      <c r="C14" s="18" t="s">
        <v>30</v>
      </c>
      <c r="D14" s="15" t="s">
        <v>37</v>
      </c>
      <c r="E14" s="7" t="s">
        <v>13</v>
      </c>
      <c r="F14" s="22" t="s">
        <v>0</v>
      </c>
      <c r="G14" s="22" t="s">
        <v>0</v>
      </c>
      <c r="H14" s="22" t="s">
        <v>0</v>
      </c>
      <c r="I14" s="22" t="s">
        <v>0</v>
      </c>
      <c r="J14" s="22" t="s">
        <v>0</v>
      </c>
      <c r="K14" s="23"/>
      <c r="L14" s="22" t="s">
        <v>0</v>
      </c>
      <c r="M14" s="22" t="s">
        <v>0</v>
      </c>
      <c r="N14" s="22" t="s">
        <v>0</v>
      </c>
      <c r="O14" s="22" t="s">
        <v>14</v>
      </c>
      <c r="P14" s="22" t="s">
        <v>14</v>
      </c>
      <c r="Q14" s="22" t="s">
        <v>0</v>
      </c>
      <c r="R14" s="23"/>
      <c r="S14" s="22" t="s">
        <v>0</v>
      </c>
      <c r="T14" s="22" t="s">
        <v>0</v>
      </c>
      <c r="U14" s="22" t="s">
        <v>0</v>
      </c>
      <c r="V14" s="22" t="s">
        <v>0</v>
      </c>
      <c r="W14" s="22" t="s">
        <v>0</v>
      </c>
      <c r="X14" s="22" t="s">
        <v>0</v>
      </c>
      <c r="Y14" s="42"/>
      <c r="Z14" s="43"/>
      <c r="AA14" s="43"/>
      <c r="AB14" s="43"/>
      <c r="AC14" s="44"/>
      <c r="AD14" s="22" t="s">
        <v>0</v>
      </c>
      <c r="AE14" s="22" t="s">
        <v>0</v>
      </c>
      <c r="AF14" s="23"/>
      <c r="AG14" s="22" t="s">
        <v>0</v>
      </c>
      <c r="AH14" s="9">
        <f t="shared" si="0"/>
        <v>2</v>
      </c>
      <c r="AI14" s="48">
        <v>312</v>
      </c>
      <c r="AJ14" s="49" t="s">
        <v>47</v>
      </c>
      <c r="AK14" s="50">
        <f t="shared" si="1"/>
        <v>624</v>
      </c>
      <c r="AL14" s="50">
        <f t="shared" si="2"/>
        <v>624</v>
      </c>
    </row>
    <row r="15" spans="1:38" x14ac:dyDescent="0.65">
      <c r="A15" s="14">
        <v>10</v>
      </c>
      <c r="B15" s="17">
        <v>2567908816</v>
      </c>
      <c r="C15" s="18" t="s">
        <v>31</v>
      </c>
      <c r="D15" s="15" t="s">
        <v>37</v>
      </c>
      <c r="E15" s="7" t="s">
        <v>13</v>
      </c>
      <c r="F15" s="22" t="s">
        <v>0</v>
      </c>
      <c r="G15" s="22" t="s">
        <v>0</v>
      </c>
      <c r="H15" s="22" t="s">
        <v>0</v>
      </c>
      <c r="I15" s="22" t="s">
        <v>0</v>
      </c>
      <c r="J15" s="22" t="s">
        <v>0</v>
      </c>
      <c r="K15" s="23"/>
      <c r="L15" s="22" t="s">
        <v>0</v>
      </c>
      <c r="M15" s="22" t="s">
        <v>0</v>
      </c>
      <c r="N15" s="22" t="s">
        <v>0</v>
      </c>
      <c r="O15" s="22" t="s">
        <v>14</v>
      </c>
      <c r="P15" s="22" t="s">
        <v>0</v>
      </c>
      <c r="Q15" s="22" t="s">
        <v>0</v>
      </c>
      <c r="R15" s="23"/>
      <c r="S15" s="22" t="s">
        <v>0</v>
      </c>
      <c r="T15" s="22" t="s">
        <v>0</v>
      </c>
      <c r="U15" s="22" t="s">
        <v>0</v>
      </c>
      <c r="V15" s="22" t="s">
        <v>0</v>
      </c>
      <c r="W15" s="22" t="s">
        <v>0</v>
      </c>
      <c r="X15" s="22" t="s">
        <v>0</v>
      </c>
      <c r="Y15" s="42"/>
      <c r="Z15" s="43"/>
      <c r="AA15" s="43"/>
      <c r="AB15" s="43"/>
      <c r="AC15" s="44"/>
      <c r="AD15" s="22" t="s">
        <v>0</v>
      </c>
      <c r="AE15" s="22" t="s">
        <v>0</v>
      </c>
      <c r="AF15" s="23"/>
      <c r="AG15" s="22" t="s">
        <v>0</v>
      </c>
      <c r="AH15" s="9">
        <f t="shared" si="0"/>
        <v>1</v>
      </c>
      <c r="AI15" s="48">
        <v>312</v>
      </c>
      <c r="AJ15" s="49" t="s">
        <v>47</v>
      </c>
      <c r="AK15" s="50">
        <f t="shared" si="1"/>
        <v>312</v>
      </c>
      <c r="AL15" s="50">
        <f t="shared" si="2"/>
        <v>312</v>
      </c>
    </row>
    <row r="16" spans="1:38" x14ac:dyDescent="0.65">
      <c r="A16" s="14">
        <v>11</v>
      </c>
      <c r="B16" s="17">
        <v>2567908817</v>
      </c>
      <c r="C16" s="18" t="s">
        <v>36</v>
      </c>
      <c r="D16" s="15" t="s">
        <v>37</v>
      </c>
      <c r="E16" s="7" t="s">
        <v>13</v>
      </c>
      <c r="F16" s="22" t="s">
        <v>0</v>
      </c>
      <c r="G16" s="22" t="s">
        <v>0</v>
      </c>
      <c r="H16" s="22" t="s">
        <v>0</v>
      </c>
      <c r="I16" s="22" t="s">
        <v>0</v>
      </c>
      <c r="J16" s="22" t="s">
        <v>0</v>
      </c>
      <c r="K16" s="23"/>
      <c r="L16" s="22" t="s">
        <v>0</v>
      </c>
      <c r="M16" s="22" t="s">
        <v>0</v>
      </c>
      <c r="N16" s="22" t="s">
        <v>0</v>
      </c>
      <c r="O16" s="22" t="s">
        <v>14</v>
      </c>
      <c r="P16" s="22" t="s">
        <v>0</v>
      </c>
      <c r="Q16" s="22" t="s">
        <v>0</v>
      </c>
      <c r="R16" s="23"/>
      <c r="S16" s="22" t="s">
        <v>0</v>
      </c>
      <c r="T16" s="22" t="s">
        <v>0</v>
      </c>
      <c r="U16" s="22" t="s">
        <v>0</v>
      </c>
      <c r="V16" s="22" t="s">
        <v>0</v>
      </c>
      <c r="W16" s="22" t="s">
        <v>0</v>
      </c>
      <c r="X16" s="22" t="s">
        <v>0</v>
      </c>
      <c r="Y16" s="42"/>
      <c r="Z16" s="43"/>
      <c r="AA16" s="43"/>
      <c r="AB16" s="43"/>
      <c r="AC16" s="44"/>
      <c r="AD16" s="22" t="s">
        <v>0</v>
      </c>
      <c r="AE16" s="22" t="s">
        <v>0</v>
      </c>
      <c r="AF16" s="23"/>
      <c r="AG16" s="22" t="s">
        <v>0</v>
      </c>
      <c r="AH16" s="9">
        <f t="shared" si="0"/>
        <v>1</v>
      </c>
      <c r="AI16" s="48">
        <v>312</v>
      </c>
      <c r="AJ16" s="49" t="s">
        <v>47</v>
      </c>
      <c r="AK16" s="50">
        <f t="shared" si="1"/>
        <v>312</v>
      </c>
      <c r="AL16" s="50">
        <f t="shared" si="2"/>
        <v>312</v>
      </c>
    </row>
    <row r="17" spans="1:49" x14ac:dyDescent="0.65">
      <c r="A17" s="14">
        <v>12</v>
      </c>
      <c r="B17" s="17">
        <v>2567908818</v>
      </c>
      <c r="C17" s="18" t="s">
        <v>32</v>
      </c>
      <c r="D17" s="15" t="s">
        <v>37</v>
      </c>
      <c r="E17" s="7" t="s">
        <v>13</v>
      </c>
      <c r="F17" s="22" t="s">
        <v>0</v>
      </c>
      <c r="G17" s="22" t="s">
        <v>0</v>
      </c>
      <c r="H17" s="22" t="s">
        <v>0</v>
      </c>
      <c r="I17" s="22" t="s">
        <v>0</v>
      </c>
      <c r="J17" s="22" t="s">
        <v>0</v>
      </c>
      <c r="K17" s="23"/>
      <c r="L17" s="22" t="s">
        <v>0</v>
      </c>
      <c r="M17" s="22" t="s">
        <v>0</v>
      </c>
      <c r="N17" s="22" t="s">
        <v>0</v>
      </c>
      <c r="O17" s="22" t="s">
        <v>14</v>
      </c>
      <c r="P17" s="22" t="s">
        <v>0</v>
      </c>
      <c r="Q17" s="22" t="s">
        <v>0</v>
      </c>
      <c r="R17" s="23"/>
      <c r="S17" s="22" t="s">
        <v>0</v>
      </c>
      <c r="T17" s="22" t="s">
        <v>0</v>
      </c>
      <c r="U17" s="22" t="s">
        <v>0</v>
      </c>
      <c r="V17" s="22" t="s">
        <v>0</v>
      </c>
      <c r="W17" s="22" t="s">
        <v>0</v>
      </c>
      <c r="X17" s="22" t="s">
        <v>0</v>
      </c>
      <c r="Y17" s="42"/>
      <c r="Z17" s="43"/>
      <c r="AA17" s="43"/>
      <c r="AB17" s="43"/>
      <c r="AC17" s="44"/>
      <c r="AD17" s="22" t="s">
        <v>0</v>
      </c>
      <c r="AE17" s="22" t="s">
        <v>0</v>
      </c>
      <c r="AF17" s="23"/>
      <c r="AG17" s="22" t="s">
        <v>0</v>
      </c>
      <c r="AH17" s="9">
        <f t="shared" si="0"/>
        <v>1</v>
      </c>
      <c r="AI17" s="48">
        <v>312</v>
      </c>
      <c r="AJ17" s="49" t="s">
        <v>47</v>
      </c>
      <c r="AK17" s="50">
        <f t="shared" si="1"/>
        <v>312</v>
      </c>
      <c r="AL17" s="50">
        <f t="shared" si="2"/>
        <v>312</v>
      </c>
    </row>
    <row r="18" spans="1:49" x14ac:dyDescent="0.65">
      <c r="A18" s="14">
        <v>13</v>
      </c>
      <c r="B18" s="17">
        <v>2593179258</v>
      </c>
      <c r="C18" s="18" t="s">
        <v>23</v>
      </c>
      <c r="D18" s="15" t="s">
        <v>38</v>
      </c>
      <c r="E18" s="7" t="s">
        <v>13</v>
      </c>
      <c r="F18" s="22" t="s">
        <v>14</v>
      </c>
      <c r="G18" s="22" t="s">
        <v>0</v>
      </c>
      <c r="H18" s="22" t="s">
        <v>0</v>
      </c>
      <c r="I18" s="22" t="s">
        <v>0</v>
      </c>
      <c r="J18" s="22" t="s">
        <v>0</v>
      </c>
      <c r="K18" s="23"/>
      <c r="L18" s="22" t="s">
        <v>0</v>
      </c>
      <c r="M18" s="22" t="s">
        <v>0</v>
      </c>
      <c r="N18" s="22" t="s">
        <v>0</v>
      </c>
      <c r="O18" s="22" t="s">
        <v>0</v>
      </c>
      <c r="P18" s="22" t="s">
        <v>0</v>
      </c>
      <c r="Q18" s="22" t="s">
        <v>0</v>
      </c>
      <c r="R18" s="23"/>
      <c r="S18" s="22" t="s">
        <v>0</v>
      </c>
      <c r="T18" s="22" t="s">
        <v>0</v>
      </c>
      <c r="U18" s="22" t="s">
        <v>0</v>
      </c>
      <c r="V18" s="22" t="s">
        <v>0</v>
      </c>
      <c r="W18" s="22" t="s">
        <v>0</v>
      </c>
      <c r="X18" s="22" t="s">
        <v>0</v>
      </c>
      <c r="Y18" s="42"/>
      <c r="Z18" s="43"/>
      <c r="AA18" s="43"/>
      <c r="AB18" s="43"/>
      <c r="AC18" s="44"/>
      <c r="AD18" s="22" t="s">
        <v>0</v>
      </c>
      <c r="AE18" s="22" t="s">
        <v>0</v>
      </c>
      <c r="AF18" s="23"/>
      <c r="AG18" s="22" t="s">
        <v>0</v>
      </c>
      <c r="AH18" s="9">
        <f t="shared" si="0"/>
        <v>1</v>
      </c>
      <c r="AI18" s="48">
        <v>312</v>
      </c>
      <c r="AJ18" s="49" t="s">
        <v>47</v>
      </c>
      <c r="AK18" s="50">
        <f t="shared" si="1"/>
        <v>312</v>
      </c>
      <c r="AL18" s="50">
        <f t="shared" si="2"/>
        <v>312</v>
      </c>
    </row>
    <row r="19" spans="1:49" x14ac:dyDescent="0.65">
      <c r="A19" s="14">
        <v>14</v>
      </c>
      <c r="B19" s="17">
        <v>2231920501</v>
      </c>
      <c r="C19" s="18" t="s">
        <v>24</v>
      </c>
      <c r="D19" s="15" t="s">
        <v>38</v>
      </c>
      <c r="E19" s="7" t="s">
        <v>13</v>
      </c>
      <c r="F19" s="22" t="s">
        <v>14</v>
      </c>
      <c r="G19" s="22" t="s">
        <v>14</v>
      </c>
      <c r="H19" s="22" t="s">
        <v>14</v>
      </c>
      <c r="I19" s="22" t="s">
        <v>14</v>
      </c>
      <c r="J19" s="22" t="s">
        <v>0</v>
      </c>
      <c r="K19" s="23"/>
      <c r="L19" s="22" t="s">
        <v>14</v>
      </c>
      <c r="M19" s="22" t="s">
        <v>14</v>
      </c>
      <c r="N19" s="22" t="s">
        <v>14</v>
      </c>
      <c r="O19" s="22" t="s">
        <v>14</v>
      </c>
      <c r="P19" s="22" t="s">
        <v>0</v>
      </c>
      <c r="Q19" s="22" t="s">
        <v>0</v>
      </c>
      <c r="R19" s="23"/>
      <c r="S19" s="22" t="s">
        <v>14</v>
      </c>
      <c r="T19" s="22" t="s">
        <v>0</v>
      </c>
      <c r="U19" s="22" t="s">
        <v>14</v>
      </c>
      <c r="V19" s="22" t="s">
        <v>14</v>
      </c>
      <c r="W19" s="22" t="s">
        <v>0</v>
      </c>
      <c r="X19" s="22" t="s">
        <v>0</v>
      </c>
      <c r="Y19" s="42"/>
      <c r="Z19" s="43"/>
      <c r="AA19" s="43"/>
      <c r="AB19" s="43"/>
      <c r="AC19" s="44"/>
      <c r="AD19" s="22" t="s">
        <v>14</v>
      </c>
      <c r="AE19" s="22" t="s">
        <v>14</v>
      </c>
      <c r="AF19" s="23"/>
      <c r="AG19" s="22" t="s">
        <v>14</v>
      </c>
      <c r="AH19" s="9">
        <f t="shared" si="0"/>
        <v>14</v>
      </c>
      <c r="AI19" s="48">
        <v>312</v>
      </c>
      <c r="AJ19" s="49" t="s">
        <v>47</v>
      </c>
      <c r="AK19" s="50">
        <f t="shared" si="1"/>
        <v>4368</v>
      </c>
      <c r="AL19" s="50">
        <f t="shared" si="2"/>
        <v>4368</v>
      </c>
    </row>
    <row r="20" spans="1:49" x14ac:dyDescent="0.65">
      <c r="A20" s="14">
        <v>15</v>
      </c>
      <c r="B20" s="17">
        <v>2561443298</v>
      </c>
      <c r="C20" s="18" t="s">
        <v>25</v>
      </c>
      <c r="D20" s="15" t="s">
        <v>38</v>
      </c>
      <c r="E20" s="7" t="s">
        <v>13</v>
      </c>
      <c r="F20" s="22" t="s">
        <v>14</v>
      </c>
      <c r="G20" s="22" t="s">
        <v>14</v>
      </c>
      <c r="H20" s="22" t="s">
        <v>14</v>
      </c>
      <c r="I20" s="22" t="s">
        <v>14</v>
      </c>
      <c r="J20" s="22" t="s">
        <v>14</v>
      </c>
      <c r="K20" s="23"/>
      <c r="L20" s="22" t="s">
        <v>0</v>
      </c>
      <c r="M20" s="22" t="s">
        <v>0</v>
      </c>
      <c r="N20" s="22" t="s">
        <v>0</v>
      </c>
      <c r="O20" s="22" t="s">
        <v>14</v>
      </c>
      <c r="P20" s="22" t="s">
        <v>0</v>
      </c>
      <c r="Q20" s="22" t="s">
        <v>14</v>
      </c>
      <c r="R20" s="23"/>
      <c r="S20" s="22" t="s">
        <v>14</v>
      </c>
      <c r="T20" s="22" t="s">
        <v>14</v>
      </c>
      <c r="U20" s="22" t="s">
        <v>14</v>
      </c>
      <c r="V20" s="22" t="s">
        <v>14</v>
      </c>
      <c r="W20" s="22" t="s">
        <v>14</v>
      </c>
      <c r="X20" s="22" t="s">
        <v>0</v>
      </c>
      <c r="Y20" s="42"/>
      <c r="Z20" s="43"/>
      <c r="AA20" s="43"/>
      <c r="AB20" s="43"/>
      <c r="AC20" s="44"/>
      <c r="AD20" s="22" t="s">
        <v>14</v>
      </c>
      <c r="AE20" s="22" t="s">
        <v>14</v>
      </c>
      <c r="AF20" s="23"/>
      <c r="AG20" s="22" t="s">
        <v>0</v>
      </c>
      <c r="AH20" s="9">
        <f t="shared" si="0"/>
        <v>14</v>
      </c>
      <c r="AI20" s="48">
        <v>312</v>
      </c>
      <c r="AJ20" s="49" t="s">
        <v>47</v>
      </c>
      <c r="AK20" s="50">
        <f t="shared" si="1"/>
        <v>4368</v>
      </c>
      <c r="AL20" s="50">
        <f t="shared" si="2"/>
        <v>4368</v>
      </c>
    </row>
    <row r="21" spans="1:49" x14ac:dyDescent="0.65">
      <c r="A21" s="14">
        <v>16</v>
      </c>
      <c r="B21" s="17">
        <v>2561443225</v>
      </c>
      <c r="C21" s="18" t="s">
        <v>26</v>
      </c>
      <c r="D21" s="15" t="s">
        <v>38</v>
      </c>
      <c r="E21" s="7" t="s">
        <v>13</v>
      </c>
      <c r="F21" s="22" t="s">
        <v>0</v>
      </c>
      <c r="G21" s="22" t="s">
        <v>14</v>
      </c>
      <c r="H21" s="22" t="s">
        <v>0</v>
      </c>
      <c r="I21" s="22" t="s">
        <v>0</v>
      </c>
      <c r="J21" s="22" t="s">
        <v>14</v>
      </c>
      <c r="K21" s="23"/>
      <c r="L21" s="22" t="s">
        <v>0</v>
      </c>
      <c r="M21" s="22" t="s">
        <v>0</v>
      </c>
      <c r="N21" s="22" t="s">
        <v>0</v>
      </c>
      <c r="O21" s="22" t="s">
        <v>14</v>
      </c>
      <c r="P21" s="22" t="s">
        <v>0</v>
      </c>
      <c r="Q21" s="22" t="s">
        <v>0</v>
      </c>
      <c r="R21" s="23"/>
      <c r="S21" s="22" t="s">
        <v>0</v>
      </c>
      <c r="T21" s="22" t="s">
        <v>14</v>
      </c>
      <c r="U21" s="22" t="s">
        <v>14</v>
      </c>
      <c r="V21" s="22" t="s">
        <v>14</v>
      </c>
      <c r="W21" s="22" t="s">
        <v>0</v>
      </c>
      <c r="X21" s="22" t="s">
        <v>0</v>
      </c>
      <c r="Y21" s="42"/>
      <c r="Z21" s="43"/>
      <c r="AA21" s="43"/>
      <c r="AB21" s="43"/>
      <c r="AC21" s="44"/>
      <c r="AD21" s="22" t="s">
        <v>14</v>
      </c>
      <c r="AE21" s="22" t="s">
        <v>14</v>
      </c>
      <c r="AF21" s="23"/>
      <c r="AG21" s="22" t="s">
        <v>14</v>
      </c>
      <c r="AH21" s="9">
        <f t="shared" si="0"/>
        <v>9</v>
      </c>
      <c r="AI21" s="48">
        <v>312</v>
      </c>
      <c r="AJ21" s="49" t="s">
        <v>47</v>
      </c>
      <c r="AK21" s="50">
        <f t="shared" si="1"/>
        <v>2808</v>
      </c>
      <c r="AL21" s="50">
        <f t="shared" si="2"/>
        <v>2808</v>
      </c>
    </row>
    <row r="22" spans="1:49" x14ac:dyDescent="0.65">
      <c r="A22" s="14">
        <v>17</v>
      </c>
      <c r="B22" s="17">
        <v>2520091246</v>
      </c>
      <c r="C22" s="18" t="s">
        <v>27</v>
      </c>
      <c r="D22" s="15" t="s">
        <v>38</v>
      </c>
      <c r="E22" s="7" t="s">
        <v>13</v>
      </c>
      <c r="F22" s="22" t="s">
        <v>0</v>
      </c>
      <c r="G22" s="22" t="s">
        <v>0</v>
      </c>
      <c r="H22" s="22" t="s">
        <v>0</v>
      </c>
      <c r="I22" s="22" t="s">
        <v>0</v>
      </c>
      <c r="J22" s="22" t="s">
        <v>0</v>
      </c>
      <c r="K22" s="23"/>
      <c r="L22" s="22" t="s">
        <v>0</v>
      </c>
      <c r="M22" s="22" t="s">
        <v>0</v>
      </c>
      <c r="N22" s="22" t="s">
        <v>0</v>
      </c>
      <c r="O22" s="22" t="s">
        <v>14</v>
      </c>
      <c r="P22" s="22" t="s">
        <v>0</v>
      </c>
      <c r="Q22" s="22" t="s">
        <v>0</v>
      </c>
      <c r="R22" s="23"/>
      <c r="S22" s="22" t="s">
        <v>0</v>
      </c>
      <c r="T22" s="22" t="s">
        <v>14</v>
      </c>
      <c r="U22" s="22" t="s">
        <v>0</v>
      </c>
      <c r="V22" s="22" t="s">
        <v>0</v>
      </c>
      <c r="W22" s="22" t="s">
        <v>0</v>
      </c>
      <c r="X22" s="22" t="s">
        <v>0</v>
      </c>
      <c r="Y22" s="42"/>
      <c r="Z22" s="43"/>
      <c r="AA22" s="43"/>
      <c r="AB22" s="43"/>
      <c r="AC22" s="44"/>
      <c r="AD22" s="22" t="s">
        <v>0</v>
      </c>
      <c r="AE22" s="22" t="s">
        <v>0</v>
      </c>
      <c r="AF22" s="23"/>
      <c r="AG22" s="22" t="s">
        <v>0</v>
      </c>
      <c r="AH22" s="9">
        <f t="shared" si="0"/>
        <v>2</v>
      </c>
      <c r="AI22" s="48">
        <v>312</v>
      </c>
      <c r="AJ22" s="49" t="s">
        <v>47</v>
      </c>
      <c r="AK22" s="50">
        <f t="shared" si="1"/>
        <v>624</v>
      </c>
      <c r="AL22" s="50">
        <f t="shared" si="2"/>
        <v>624</v>
      </c>
    </row>
    <row r="23" spans="1:49" x14ac:dyDescent="0.65">
      <c r="A23" s="14">
        <v>18</v>
      </c>
      <c r="B23" s="17">
        <v>2512533163</v>
      </c>
      <c r="C23" s="18" t="s">
        <v>28</v>
      </c>
      <c r="D23" s="15" t="s">
        <v>38</v>
      </c>
      <c r="E23" s="7" t="s">
        <v>13</v>
      </c>
      <c r="F23" s="22" t="s">
        <v>0</v>
      </c>
      <c r="G23" s="22" t="s">
        <v>0</v>
      </c>
      <c r="H23" s="22" t="s">
        <v>0</v>
      </c>
      <c r="I23" s="22" t="s">
        <v>0</v>
      </c>
      <c r="J23" s="22" t="s">
        <v>0</v>
      </c>
      <c r="K23" s="23"/>
      <c r="L23" s="22" t="s">
        <v>0</v>
      </c>
      <c r="M23" s="22" t="s">
        <v>0</v>
      </c>
      <c r="N23" s="22" t="s">
        <v>0</v>
      </c>
      <c r="O23" s="22" t="s">
        <v>14</v>
      </c>
      <c r="P23" s="22" t="s">
        <v>0</v>
      </c>
      <c r="Q23" s="22" t="s">
        <v>0</v>
      </c>
      <c r="R23" s="23"/>
      <c r="S23" s="22" t="s">
        <v>0</v>
      </c>
      <c r="T23" s="22" t="s">
        <v>0</v>
      </c>
      <c r="U23" s="22" t="s">
        <v>0</v>
      </c>
      <c r="V23" s="22" t="s">
        <v>0</v>
      </c>
      <c r="W23" s="22" t="s">
        <v>0</v>
      </c>
      <c r="X23" s="22" t="s">
        <v>0</v>
      </c>
      <c r="Y23" s="42"/>
      <c r="Z23" s="43"/>
      <c r="AA23" s="43"/>
      <c r="AB23" s="43"/>
      <c r="AC23" s="44"/>
      <c r="AD23" s="22" t="s">
        <v>0</v>
      </c>
      <c r="AE23" s="22" t="s">
        <v>0</v>
      </c>
      <c r="AF23" s="23"/>
      <c r="AG23" s="22" t="s">
        <v>0</v>
      </c>
      <c r="AH23" s="9">
        <f t="shared" si="0"/>
        <v>1</v>
      </c>
      <c r="AI23" s="48">
        <v>312</v>
      </c>
      <c r="AJ23" s="49" t="s">
        <v>47</v>
      </c>
      <c r="AK23" s="50">
        <f t="shared" si="1"/>
        <v>312</v>
      </c>
      <c r="AL23" s="50">
        <f t="shared" si="2"/>
        <v>312</v>
      </c>
    </row>
    <row r="24" spans="1:49" ht="35.4" thickBot="1" x14ac:dyDescent="0.7">
      <c r="G24" s="10"/>
      <c r="AF24" s="51" t="s">
        <v>49</v>
      </c>
      <c r="AG24" s="51"/>
      <c r="AH24" s="52">
        <f>SUM(AH6:AH23)</f>
        <v>106</v>
      </c>
      <c r="AI24" s="53">
        <v>312</v>
      </c>
      <c r="AJ24" s="54"/>
      <c r="AK24" s="55"/>
      <c r="AL24" s="56">
        <f>SUM(AL6:AL23)</f>
        <v>33072</v>
      </c>
    </row>
    <row r="25" spans="1:49" x14ac:dyDescent="0.65">
      <c r="G25" s="10"/>
      <c r="AH25" s="57"/>
      <c r="AI25" s="57"/>
      <c r="AJ25" s="57"/>
      <c r="AM25" s="11"/>
    </row>
    <row r="26" spans="1:49" x14ac:dyDescent="0.65">
      <c r="G26" s="10"/>
    </row>
    <row r="27" spans="1:49" x14ac:dyDescent="0.65">
      <c r="G27" s="10"/>
    </row>
    <row r="28" spans="1:49" x14ac:dyDescent="0.65">
      <c r="G28" s="10"/>
    </row>
    <row r="29" spans="1:49" x14ac:dyDescent="0.65">
      <c r="G29" s="10"/>
    </row>
    <row r="30" spans="1:49" x14ac:dyDescent="0.65">
      <c r="G30" s="10"/>
    </row>
    <row r="31" spans="1:49" x14ac:dyDescent="0.65">
      <c r="G31" s="10"/>
      <c r="AW31" s="10"/>
    </row>
    <row r="32" spans="1:49" x14ac:dyDescent="0.65">
      <c r="G32" s="10"/>
      <c r="AW32" s="10"/>
    </row>
    <row r="33" spans="7:58" x14ac:dyDescent="0.65">
      <c r="G33" s="10"/>
      <c r="AY33" s="10"/>
    </row>
    <row r="34" spans="7:58" x14ac:dyDescent="0.65">
      <c r="G34" s="10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0"/>
    </row>
    <row r="35" spans="7:58" x14ac:dyDescent="0.65">
      <c r="G35" s="10"/>
      <c r="BF35" s="10"/>
    </row>
    <row r="36" spans="7:58" x14ac:dyDescent="0.65">
      <c r="G36" s="10"/>
    </row>
    <row r="37" spans="7:58" x14ac:dyDescent="0.65">
      <c r="G37" s="10"/>
    </row>
    <row r="38" spans="7:58" x14ac:dyDescent="0.65">
      <c r="G38" s="10"/>
    </row>
    <row r="39" spans="7:58" x14ac:dyDescent="0.65">
      <c r="G39" s="10"/>
    </row>
    <row r="40" spans="7:58" x14ac:dyDescent="0.65">
      <c r="G40" s="10"/>
    </row>
    <row r="41" spans="7:58" x14ac:dyDescent="0.65">
      <c r="G41" s="10"/>
    </row>
    <row r="42" spans="7:58" x14ac:dyDescent="0.65">
      <c r="G42" s="10"/>
    </row>
    <row r="43" spans="7:58" x14ac:dyDescent="0.65">
      <c r="G43" s="10"/>
    </row>
    <row r="44" spans="7:58" x14ac:dyDescent="0.65">
      <c r="G44" s="10"/>
    </row>
    <row r="45" spans="7:58" x14ac:dyDescent="0.65">
      <c r="G45" s="10"/>
    </row>
    <row r="46" spans="7:58" x14ac:dyDescent="0.65">
      <c r="G46" s="10"/>
    </row>
    <row r="47" spans="7:58" x14ac:dyDescent="0.65">
      <c r="G47" s="10"/>
    </row>
    <row r="48" spans="7:58" x14ac:dyDescent="0.65">
      <c r="G48" s="10"/>
    </row>
    <row r="49" spans="7:7" x14ac:dyDescent="0.65">
      <c r="G49" s="10"/>
    </row>
    <row r="50" spans="7:7" x14ac:dyDescent="0.65">
      <c r="G50" s="10"/>
    </row>
    <row r="51" spans="7:7" x14ac:dyDescent="0.65">
      <c r="G51" s="10"/>
    </row>
    <row r="52" spans="7:7" x14ac:dyDescent="0.65">
      <c r="G52" s="10"/>
    </row>
    <row r="53" spans="7:7" x14ac:dyDescent="0.65">
      <c r="G53" s="10"/>
    </row>
    <row r="54" spans="7:7" x14ac:dyDescent="0.65">
      <c r="G54" s="10"/>
    </row>
    <row r="55" spans="7:7" x14ac:dyDescent="0.65">
      <c r="G55" s="10"/>
    </row>
    <row r="56" spans="7:7" x14ac:dyDescent="0.65">
      <c r="G56" s="10"/>
    </row>
    <row r="57" spans="7:7" x14ac:dyDescent="0.65">
      <c r="G57" s="10"/>
    </row>
    <row r="58" spans="7:7" x14ac:dyDescent="0.65">
      <c r="G58" s="10"/>
    </row>
    <row r="59" spans="7:7" x14ac:dyDescent="0.65">
      <c r="G59" s="10"/>
    </row>
    <row r="60" spans="7:7" x14ac:dyDescent="0.65">
      <c r="G60" s="10"/>
    </row>
    <row r="61" spans="7:7" x14ac:dyDescent="0.65">
      <c r="G61" s="10"/>
    </row>
    <row r="62" spans="7:7" x14ac:dyDescent="0.65">
      <c r="G62" s="10"/>
    </row>
    <row r="63" spans="7:7" x14ac:dyDescent="0.65">
      <c r="G63" s="10"/>
    </row>
    <row r="64" spans="7:7" x14ac:dyDescent="0.65">
      <c r="G64" s="10"/>
    </row>
    <row r="65" spans="7:7" x14ac:dyDescent="0.65">
      <c r="G65" s="10"/>
    </row>
    <row r="66" spans="7:7" x14ac:dyDescent="0.65">
      <c r="G66" s="10"/>
    </row>
    <row r="67" spans="7:7" x14ac:dyDescent="0.65">
      <c r="G67" s="10"/>
    </row>
    <row r="68" spans="7:7" x14ac:dyDescent="0.65">
      <c r="G68" s="10"/>
    </row>
    <row r="69" spans="7:7" x14ac:dyDescent="0.65">
      <c r="G69" s="10"/>
    </row>
    <row r="70" spans="7:7" x14ac:dyDescent="0.65">
      <c r="G70" s="10"/>
    </row>
    <row r="71" spans="7:7" x14ac:dyDescent="0.65">
      <c r="G71" s="10"/>
    </row>
    <row r="72" spans="7:7" x14ac:dyDescent="0.65">
      <c r="G72" s="10"/>
    </row>
    <row r="73" spans="7:7" x14ac:dyDescent="0.65">
      <c r="G73" s="10"/>
    </row>
    <row r="74" spans="7:7" x14ac:dyDescent="0.65">
      <c r="G74" s="10"/>
    </row>
    <row r="75" spans="7:7" x14ac:dyDescent="0.65">
      <c r="G75" s="10"/>
    </row>
    <row r="76" spans="7:7" x14ac:dyDescent="0.65">
      <c r="G76" s="10"/>
    </row>
    <row r="77" spans="7:7" x14ac:dyDescent="0.65">
      <c r="G77" s="10"/>
    </row>
    <row r="78" spans="7:7" x14ac:dyDescent="0.65">
      <c r="G78" s="10"/>
    </row>
    <row r="79" spans="7:7" x14ac:dyDescent="0.65">
      <c r="G79" s="10"/>
    </row>
    <row r="80" spans="7:7" x14ac:dyDescent="0.65">
      <c r="G80" s="10"/>
    </row>
    <row r="81" spans="7:7" x14ac:dyDescent="0.65">
      <c r="G81" s="10"/>
    </row>
    <row r="82" spans="7:7" x14ac:dyDescent="0.65">
      <c r="G82" s="10"/>
    </row>
    <row r="83" spans="7:7" x14ac:dyDescent="0.65">
      <c r="G83" s="10"/>
    </row>
    <row r="84" spans="7:7" x14ac:dyDescent="0.65">
      <c r="G84" s="10"/>
    </row>
    <row r="85" spans="7:7" x14ac:dyDescent="0.65">
      <c r="G85" s="10"/>
    </row>
    <row r="86" spans="7:7" x14ac:dyDescent="0.65">
      <c r="G86" s="10"/>
    </row>
    <row r="87" spans="7:7" x14ac:dyDescent="0.65">
      <c r="G87" s="10"/>
    </row>
    <row r="88" spans="7:7" x14ac:dyDescent="0.65">
      <c r="G88" s="10"/>
    </row>
    <row r="89" spans="7:7" x14ac:dyDescent="0.65">
      <c r="G89" s="10"/>
    </row>
    <row r="90" spans="7:7" x14ac:dyDescent="0.65">
      <c r="G90" s="10"/>
    </row>
    <row r="91" spans="7:7" x14ac:dyDescent="0.65">
      <c r="G91" s="10"/>
    </row>
    <row r="92" spans="7:7" x14ac:dyDescent="0.65">
      <c r="G92" s="10"/>
    </row>
    <row r="93" spans="7:7" x14ac:dyDescent="0.65">
      <c r="G93" s="10"/>
    </row>
    <row r="94" spans="7:7" x14ac:dyDescent="0.65">
      <c r="G94" s="10"/>
    </row>
    <row r="95" spans="7:7" x14ac:dyDescent="0.65">
      <c r="G95" s="10"/>
    </row>
    <row r="96" spans="7:7" x14ac:dyDescent="0.65">
      <c r="G96" s="10"/>
    </row>
    <row r="97" spans="7:7" x14ac:dyDescent="0.65">
      <c r="G97" s="10"/>
    </row>
    <row r="98" spans="7:7" x14ac:dyDescent="0.65">
      <c r="G98" s="10"/>
    </row>
    <row r="99" spans="7:7" x14ac:dyDescent="0.65">
      <c r="G99" s="10"/>
    </row>
    <row r="100" spans="7:7" x14ac:dyDescent="0.65">
      <c r="G100" s="10"/>
    </row>
    <row r="101" spans="7:7" x14ac:dyDescent="0.65">
      <c r="G101" s="10"/>
    </row>
    <row r="102" spans="7:7" x14ac:dyDescent="0.65">
      <c r="G102" s="10"/>
    </row>
    <row r="103" spans="7:7" x14ac:dyDescent="0.65">
      <c r="G103" s="10"/>
    </row>
    <row r="104" spans="7:7" x14ac:dyDescent="0.65">
      <c r="G104" s="10"/>
    </row>
    <row r="105" spans="7:7" x14ac:dyDescent="0.65">
      <c r="G105" s="10"/>
    </row>
    <row r="106" spans="7:7" x14ac:dyDescent="0.65">
      <c r="G106" s="10"/>
    </row>
    <row r="107" spans="7:7" x14ac:dyDescent="0.65">
      <c r="G107" s="10"/>
    </row>
    <row r="108" spans="7:7" x14ac:dyDescent="0.65">
      <c r="G108" s="10"/>
    </row>
    <row r="109" spans="7:7" x14ac:dyDescent="0.65">
      <c r="G109" s="10"/>
    </row>
    <row r="110" spans="7:7" x14ac:dyDescent="0.65">
      <c r="G110" s="10"/>
    </row>
    <row r="111" spans="7:7" x14ac:dyDescent="0.65">
      <c r="G111" s="10"/>
    </row>
    <row r="112" spans="7:7" x14ac:dyDescent="0.65">
      <c r="G112" s="10"/>
    </row>
    <row r="113" spans="7:7" x14ac:dyDescent="0.65">
      <c r="G113" s="10"/>
    </row>
    <row r="114" spans="7:7" x14ac:dyDescent="0.65">
      <c r="G114" s="10"/>
    </row>
    <row r="115" spans="7:7" x14ac:dyDescent="0.65">
      <c r="G115" s="10"/>
    </row>
    <row r="116" spans="7:7" x14ac:dyDescent="0.65">
      <c r="G116" s="10"/>
    </row>
    <row r="117" spans="7:7" x14ac:dyDescent="0.65">
      <c r="G117" s="10"/>
    </row>
    <row r="118" spans="7:7" x14ac:dyDescent="0.65">
      <c r="G118" s="10"/>
    </row>
    <row r="119" spans="7:7" x14ac:dyDescent="0.65">
      <c r="G119" s="10"/>
    </row>
    <row r="120" spans="7:7" x14ac:dyDescent="0.65">
      <c r="G120" s="10"/>
    </row>
    <row r="121" spans="7:7" x14ac:dyDescent="0.65">
      <c r="G121" s="10"/>
    </row>
    <row r="122" spans="7:7" x14ac:dyDescent="0.65">
      <c r="G122" s="10"/>
    </row>
    <row r="123" spans="7:7" x14ac:dyDescent="0.65">
      <c r="G123" s="10"/>
    </row>
    <row r="124" spans="7:7" x14ac:dyDescent="0.65">
      <c r="G124" s="10"/>
    </row>
    <row r="125" spans="7:7" x14ac:dyDescent="0.65">
      <c r="G125" s="10"/>
    </row>
    <row r="126" spans="7:7" x14ac:dyDescent="0.65">
      <c r="G126" s="10"/>
    </row>
    <row r="127" spans="7:7" x14ac:dyDescent="0.65">
      <c r="G127" s="10"/>
    </row>
    <row r="128" spans="7:7" x14ac:dyDescent="0.65">
      <c r="G128" s="10"/>
    </row>
    <row r="129" spans="7:7" x14ac:dyDescent="0.65">
      <c r="G129" s="10"/>
    </row>
    <row r="130" spans="7:7" x14ac:dyDescent="0.65">
      <c r="G130" s="10"/>
    </row>
    <row r="131" spans="7:7" x14ac:dyDescent="0.65">
      <c r="G131" s="10"/>
    </row>
    <row r="132" spans="7:7" x14ac:dyDescent="0.65">
      <c r="G132" s="10"/>
    </row>
    <row r="133" spans="7:7" x14ac:dyDescent="0.65">
      <c r="G133" s="10"/>
    </row>
    <row r="134" spans="7:7" x14ac:dyDescent="0.65">
      <c r="G134" s="10"/>
    </row>
    <row r="135" spans="7:7" x14ac:dyDescent="0.65">
      <c r="G135" s="10"/>
    </row>
    <row r="136" spans="7:7" x14ac:dyDescent="0.65">
      <c r="G136" s="10"/>
    </row>
    <row r="137" spans="7:7" x14ac:dyDescent="0.65">
      <c r="G137" s="10"/>
    </row>
    <row r="138" spans="7:7" x14ac:dyDescent="0.65">
      <c r="G138" s="10"/>
    </row>
    <row r="139" spans="7:7" x14ac:dyDescent="0.65">
      <c r="G139" s="10"/>
    </row>
    <row r="140" spans="7:7" x14ac:dyDescent="0.65">
      <c r="G140" s="10"/>
    </row>
    <row r="141" spans="7:7" x14ac:dyDescent="0.65">
      <c r="G141" s="10"/>
    </row>
    <row r="145" spans="7:38" x14ac:dyDescent="0.65"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58" spans="7:38" x14ac:dyDescent="0.65">
      <c r="AJ158" s="11"/>
      <c r="AK158" s="11"/>
      <c r="AL158" s="11"/>
    </row>
    <row r="165" spans="1:44" x14ac:dyDescent="0.65">
      <c r="AM165" s="11"/>
      <c r="AN165" s="11"/>
      <c r="AO165" s="11"/>
      <c r="AP165" s="11"/>
      <c r="AQ165" s="11"/>
      <c r="AR165" s="11"/>
    </row>
    <row r="173" spans="1:44" ht="19.8" customHeight="1" x14ac:dyDescent="0.65"/>
    <row r="176" spans="1:44" s="11" customFormat="1" ht="58.8" customHeight="1" x14ac:dyDescent="0.6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</sheetData>
  <mergeCells count="10">
    <mergeCell ref="AI4:AI5"/>
    <mergeCell ref="AJ4:AJ5"/>
    <mergeCell ref="AK4:AK5"/>
    <mergeCell ref="AL4:AL5"/>
    <mergeCell ref="Y6:AC23"/>
    <mergeCell ref="F1:AH3"/>
    <mergeCell ref="A4:A5"/>
    <mergeCell ref="B4:B5"/>
    <mergeCell ref="C4:C5"/>
    <mergeCell ref="E4:E5"/>
  </mergeCells>
  <phoneticPr fontId="1" type="noConversion"/>
  <conditionalFormatting sqref="F24:AE24 F6:Y6 F7:X23 AD6:AG23">
    <cfRule type="containsText" dxfId="18" priority="29" operator="containsText" text="A">
      <formula>NOT(ISERROR(SEARCH("A",F6)))</formula>
    </cfRule>
  </conditionalFormatting>
  <conditionalFormatting sqref="F18:F22">
    <cfRule type="containsText" dxfId="17" priority="21" operator="containsText" text="A">
      <formula>NOT(ISERROR(SEARCH("A",F18)))</formula>
    </cfRule>
  </conditionalFormatting>
  <conditionalFormatting sqref="F6:F16 F15:G15 G6:G14 H8:J15">
    <cfRule type="containsText" dxfId="16" priority="15" operator="containsText" text="A">
      <formula>NOT(ISERROR(SEARCH("A",F6)))</formula>
    </cfRule>
  </conditionalFormatting>
  <conditionalFormatting sqref="H6:K17">
    <cfRule type="containsText" dxfId="15" priority="14" operator="containsText" text="A">
      <formula>NOT(ISERROR(SEARCH("A",H6)))</formula>
    </cfRule>
  </conditionalFormatting>
  <conditionalFormatting sqref="G6:G7 G15:J15">
    <cfRule type="containsText" dxfId="14" priority="13" operator="containsText" text="A">
      <formula>NOT(ISERROR(SEARCH("A",G6)))</formula>
    </cfRule>
  </conditionalFormatting>
  <conditionalFormatting sqref="G18:G20 H18:I22 J19:J22">
    <cfRule type="containsText" dxfId="13" priority="12" operator="containsText" text="A">
      <formula>NOT(ISERROR(SEARCH("A",G18)))</formula>
    </cfRule>
  </conditionalFormatting>
  <conditionalFormatting sqref="G8:G17 H8:J15">
    <cfRule type="containsText" dxfId="12" priority="8" operator="containsText" text="A">
      <formula>NOT(ISERROR(SEARCH("A",G8)))</formula>
    </cfRule>
  </conditionalFormatting>
  <conditionalFormatting sqref="N6:Q17">
    <cfRule type="containsText" dxfId="11" priority="5" operator="containsText" text="A">
      <formula>NOT(ISERROR(SEARCH("A",N6)))</formula>
    </cfRule>
  </conditionalFormatting>
  <conditionalFormatting sqref="R6:S17 T6:T15 U6:U13 V6:W12 W14:W15">
    <cfRule type="containsText" dxfId="10" priority="4" operator="containsText" text="A">
      <formula>NOT(ISERROR(SEARCH("A",R6)))</formula>
    </cfRule>
  </conditionalFormatting>
  <pageMargins left="0.7" right="0.7" top="0.75" bottom="0.75" header="0.3" footer="0.3"/>
  <pageSetup paperSize="8" scale="24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11E4-D6C9-436F-A7B3-FDE680BF3871}">
  <sheetPr>
    <pageSetUpPr fitToPage="1"/>
  </sheetPr>
  <dimension ref="A1:BC171"/>
  <sheetViews>
    <sheetView showGridLines="0" tabSelected="1" zoomScale="44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AV15" sqref="AV15"/>
    </sheetView>
  </sheetViews>
  <sheetFormatPr defaultRowHeight="34.799999999999997" x14ac:dyDescent="0.65"/>
  <cols>
    <col min="1" max="1" width="12.44140625" style="12" bestFit="1" customWidth="1"/>
    <col min="2" max="2" width="30.21875" style="12" bestFit="1" customWidth="1"/>
    <col min="3" max="3" width="56" style="12" bestFit="1" customWidth="1"/>
    <col min="4" max="4" width="33.33203125" style="12" bestFit="1" customWidth="1"/>
    <col min="5" max="5" width="47.109375" style="12" customWidth="1"/>
    <col min="6" max="12" width="12.21875" style="12" bestFit="1" customWidth="1"/>
    <col min="13" max="13" width="13.44140625" style="12" bestFit="1" customWidth="1"/>
    <col min="14" max="33" width="12.21875" style="12" bestFit="1" customWidth="1"/>
    <col min="34" max="36" width="12.21875" style="12" customWidth="1"/>
    <col min="37" max="37" width="25.44140625" style="12" bestFit="1" customWidth="1"/>
    <col min="38" max="38" width="29.44140625" style="12" bestFit="1" customWidth="1"/>
    <col min="39" max="39" width="20.6640625" style="12" bestFit="1" customWidth="1"/>
    <col min="40" max="40" width="33.5546875" style="12" bestFit="1" customWidth="1"/>
    <col min="41" max="41" width="37.109375" style="12" bestFit="1" customWidth="1"/>
    <col min="42" max="42" width="12.21875" style="12" bestFit="1" customWidth="1"/>
    <col min="43" max="43" width="12.21875" style="12" customWidth="1"/>
    <col min="44" max="59" width="12.21875" style="12" bestFit="1" customWidth="1"/>
    <col min="60" max="60" width="22.44140625" style="12" bestFit="1" customWidth="1"/>
    <col min="61" max="16384" width="8.88671875" style="12"/>
  </cols>
  <sheetData>
    <row r="1" spans="1:41" x14ac:dyDescent="0.65">
      <c r="F1" s="32" t="s">
        <v>41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</row>
    <row r="2" spans="1:41" x14ac:dyDescent="0.65"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 spans="1:41" x14ac:dyDescent="0.65"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</row>
    <row r="4" spans="1:41" ht="104.4" customHeight="1" x14ac:dyDescent="0.65">
      <c r="A4" s="35" t="s">
        <v>11</v>
      </c>
      <c r="B4" s="37" t="s">
        <v>10</v>
      </c>
      <c r="C4" s="37" t="s">
        <v>9</v>
      </c>
      <c r="D4" s="13" t="s">
        <v>35</v>
      </c>
      <c r="E4" s="37" t="s">
        <v>12</v>
      </c>
      <c r="F4" s="3">
        <v>46082</v>
      </c>
      <c r="G4" s="3">
        <v>46083</v>
      </c>
      <c r="H4" s="3">
        <v>46084</v>
      </c>
      <c r="I4" s="3">
        <v>46085</v>
      </c>
      <c r="J4" s="3">
        <v>46086</v>
      </c>
      <c r="K4" s="3">
        <v>46087</v>
      </c>
      <c r="L4" s="3">
        <v>46088</v>
      </c>
      <c r="M4" s="3">
        <v>46089</v>
      </c>
      <c r="N4" s="3">
        <v>46090</v>
      </c>
      <c r="O4" s="3">
        <v>46091</v>
      </c>
      <c r="P4" s="3">
        <v>46092</v>
      </c>
      <c r="Q4" s="3">
        <v>46093</v>
      </c>
      <c r="R4" s="3">
        <v>46094</v>
      </c>
      <c r="S4" s="3">
        <v>46095</v>
      </c>
      <c r="T4" s="3">
        <v>46096</v>
      </c>
      <c r="U4" s="3">
        <v>46097</v>
      </c>
      <c r="V4" s="3">
        <v>46098</v>
      </c>
      <c r="W4" s="3">
        <v>46099</v>
      </c>
      <c r="X4" s="3">
        <v>46100</v>
      </c>
      <c r="Y4" s="3">
        <v>46101</v>
      </c>
      <c r="Z4" s="3">
        <v>46102</v>
      </c>
      <c r="AA4" s="3">
        <v>46103</v>
      </c>
      <c r="AB4" s="3">
        <v>46104</v>
      </c>
      <c r="AC4" s="3">
        <v>46105</v>
      </c>
      <c r="AD4" s="3">
        <v>46106</v>
      </c>
      <c r="AE4" s="3">
        <v>46107</v>
      </c>
      <c r="AF4" s="3">
        <v>46108</v>
      </c>
      <c r="AG4" s="3">
        <v>46109</v>
      </c>
      <c r="AH4" s="3">
        <v>46110</v>
      </c>
      <c r="AI4" s="3">
        <v>46111</v>
      </c>
      <c r="AJ4" s="3">
        <v>46112</v>
      </c>
      <c r="AK4" s="4" t="s">
        <v>15</v>
      </c>
      <c r="AL4" s="46" t="s">
        <v>43</v>
      </c>
      <c r="AM4" s="46" t="s">
        <v>44</v>
      </c>
      <c r="AN4" s="46" t="s">
        <v>45</v>
      </c>
      <c r="AO4" s="46" t="s">
        <v>46</v>
      </c>
    </row>
    <row r="5" spans="1:41" x14ac:dyDescent="0.65">
      <c r="A5" s="36"/>
      <c r="B5" s="38"/>
      <c r="C5" s="38"/>
      <c r="D5" s="20"/>
      <c r="E5" s="38"/>
      <c r="F5" s="6" t="s">
        <v>7</v>
      </c>
      <c r="G5" s="6" t="s">
        <v>6</v>
      </c>
      <c r="H5" s="6" t="s">
        <v>5</v>
      </c>
      <c r="I5" s="6" t="s">
        <v>4</v>
      </c>
      <c r="J5" s="6" t="s">
        <v>3</v>
      </c>
      <c r="K5" s="6" t="s">
        <v>2</v>
      </c>
      <c r="L5" s="6" t="s">
        <v>1</v>
      </c>
      <c r="M5" s="6" t="s">
        <v>7</v>
      </c>
      <c r="N5" s="6" t="s">
        <v>6</v>
      </c>
      <c r="O5" s="6" t="s">
        <v>5</v>
      </c>
      <c r="P5" s="6" t="s">
        <v>4</v>
      </c>
      <c r="Q5" s="6" t="s">
        <v>3</v>
      </c>
      <c r="R5" s="6" t="s">
        <v>2</v>
      </c>
      <c r="S5" s="6" t="s">
        <v>1</v>
      </c>
      <c r="T5" s="6" t="s">
        <v>7</v>
      </c>
      <c r="U5" s="6" t="s">
        <v>6</v>
      </c>
      <c r="V5" s="6" t="s">
        <v>5</v>
      </c>
      <c r="W5" s="6" t="s">
        <v>4</v>
      </c>
      <c r="X5" s="6" t="s">
        <v>3</v>
      </c>
      <c r="Y5" s="6" t="s">
        <v>2</v>
      </c>
      <c r="Z5" s="6" t="s">
        <v>1</v>
      </c>
      <c r="AA5" s="6" t="s">
        <v>7</v>
      </c>
      <c r="AB5" s="6" t="s">
        <v>6</v>
      </c>
      <c r="AC5" s="6" t="s">
        <v>5</v>
      </c>
      <c r="AD5" s="6" t="s">
        <v>4</v>
      </c>
      <c r="AE5" s="6" t="s">
        <v>3</v>
      </c>
      <c r="AF5" s="6" t="s">
        <v>2</v>
      </c>
      <c r="AG5" s="6" t="s">
        <v>1</v>
      </c>
      <c r="AH5" s="6" t="s">
        <v>7</v>
      </c>
      <c r="AI5" s="6" t="s">
        <v>6</v>
      </c>
      <c r="AJ5" s="6" t="s">
        <v>5</v>
      </c>
      <c r="AK5" s="47"/>
      <c r="AL5" s="46"/>
      <c r="AM5" s="46"/>
      <c r="AN5" s="46"/>
      <c r="AO5" s="46"/>
    </row>
    <row r="6" spans="1:41" x14ac:dyDescent="0.65">
      <c r="A6" s="14">
        <v>1</v>
      </c>
      <c r="B6" s="17">
        <v>2591042771</v>
      </c>
      <c r="C6" s="18" t="s">
        <v>16</v>
      </c>
      <c r="D6" s="21" t="s">
        <v>37</v>
      </c>
      <c r="E6" s="7" t="s">
        <v>13</v>
      </c>
      <c r="F6" s="22" t="s">
        <v>14</v>
      </c>
      <c r="G6" s="22" t="s">
        <v>14</v>
      </c>
      <c r="H6" s="22" t="s">
        <v>14</v>
      </c>
      <c r="I6" s="22" t="s">
        <v>14</v>
      </c>
      <c r="J6" s="22" t="s">
        <v>14</v>
      </c>
      <c r="K6" s="23" t="s">
        <v>14</v>
      </c>
      <c r="L6" s="22" t="s">
        <v>0</v>
      </c>
      <c r="M6" s="22" t="s">
        <v>0</v>
      </c>
      <c r="N6" s="22" t="s">
        <v>0</v>
      </c>
      <c r="O6" s="22" t="s">
        <v>0</v>
      </c>
      <c r="P6" s="22" t="s">
        <v>14</v>
      </c>
      <c r="Q6" s="22" t="s">
        <v>0</v>
      </c>
      <c r="R6" s="23"/>
      <c r="S6" s="22" t="s">
        <v>14</v>
      </c>
      <c r="T6" s="22" t="s">
        <v>0</v>
      </c>
      <c r="U6" s="22" t="s">
        <v>14</v>
      </c>
      <c r="V6" s="22" t="s">
        <v>0</v>
      </c>
      <c r="W6" s="22" t="s">
        <v>14</v>
      </c>
      <c r="X6" s="39" t="s">
        <v>42</v>
      </c>
      <c r="Y6" s="40"/>
      <c r="Z6" s="40"/>
      <c r="AA6" s="40"/>
      <c r="AB6" s="41"/>
      <c r="AC6" s="31" t="s">
        <v>0</v>
      </c>
      <c r="AD6" s="31" t="s">
        <v>14</v>
      </c>
      <c r="AE6" s="22" t="s">
        <v>14</v>
      </c>
      <c r="AF6" s="23"/>
      <c r="AG6" s="22" t="s">
        <v>14</v>
      </c>
      <c r="AH6" s="22" t="s">
        <v>0</v>
      </c>
      <c r="AI6" s="22" t="s">
        <v>0</v>
      </c>
      <c r="AJ6" s="22" t="s">
        <v>0</v>
      </c>
      <c r="AK6" s="9">
        <f>COUNTIF(F6:AJ6,"P")</f>
        <v>13</v>
      </c>
      <c r="AL6" s="48">
        <v>312</v>
      </c>
      <c r="AM6" s="49" t="s">
        <v>47</v>
      </c>
      <c r="AN6" s="50">
        <f>(AK6*AL6)</f>
        <v>4056</v>
      </c>
      <c r="AO6" s="50">
        <f>(AN6)</f>
        <v>4056</v>
      </c>
    </row>
    <row r="7" spans="1:41" x14ac:dyDescent="0.65">
      <c r="A7" s="14">
        <v>2</v>
      </c>
      <c r="B7" s="17">
        <v>2534020728</v>
      </c>
      <c r="C7" s="18" t="s">
        <v>17</v>
      </c>
      <c r="D7" s="15" t="s">
        <v>37</v>
      </c>
      <c r="E7" s="7" t="s">
        <v>13</v>
      </c>
      <c r="F7" s="22" t="s">
        <v>14</v>
      </c>
      <c r="G7" s="22" t="s">
        <v>14</v>
      </c>
      <c r="H7" s="22" t="s">
        <v>14</v>
      </c>
      <c r="I7" s="22" t="s">
        <v>14</v>
      </c>
      <c r="J7" s="22" t="s">
        <v>14</v>
      </c>
      <c r="K7" s="23" t="s">
        <v>14</v>
      </c>
      <c r="L7" s="22" t="s">
        <v>0</v>
      </c>
      <c r="M7" s="22" t="s">
        <v>14</v>
      </c>
      <c r="N7" s="22" t="s">
        <v>14</v>
      </c>
      <c r="O7" s="22" t="s">
        <v>14</v>
      </c>
      <c r="P7" s="22" t="s">
        <v>14</v>
      </c>
      <c r="Q7" s="22" t="s">
        <v>14</v>
      </c>
      <c r="R7" s="23"/>
      <c r="S7" s="22" t="s">
        <v>14</v>
      </c>
      <c r="T7" s="22" t="s">
        <v>14</v>
      </c>
      <c r="U7" s="22" t="s">
        <v>14</v>
      </c>
      <c r="V7" s="22" t="s">
        <v>14</v>
      </c>
      <c r="W7" s="22" t="s">
        <v>14</v>
      </c>
      <c r="X7" s="42"/>
      <c r="Y7" s="43"/>
      <c r="Z7" s="43"/>
      <c r="AA7" s="43"/>
      <c r="AB7" s="44"/>
      <c r="AC7" s="31" t="s">
        <v>14</v>
      </c>
      <c r="AD7" s="31" t="s">
        <v>14</v>
      </c>
      <c r="AE7" s="22" t="s">
        <v>0</v>
      </c>
      <c r="AF7" s="23"/>
      <c r="AG7" s="22" t="s">
        <v>14</v>
      </c>
      <c r="AH7" s="22" t="s">
        <v>0</v>
      </c>
      <c r="AI7" s="22" t="s">
        <v>0</v>
      </c>
      <c r="AJ7" s="22" t="s">
        <v>0</v>
      </c>
      <c r="AK7" s="9">
        <f t="shared" ref="AK7:AK18" si="0">COUNTIF(F7:AJ7,"P")</f>
        <v>19</v>
      </c>
      <c r="AL7" s="48">
        <v>312</v>
      </c>
      <c r="AM7" s="49" t="s">
        <v>47</v>
      </c>
      <c r="AN7" s="50">
        <f t="shared" ref="AN7:AN18" si="1">(AK7*AL7)</f>
        <v>5928</v>
      </c>
      <c r="AO7" s="50">
        <f t="shared" ref="AO7:AO18" si="2">(AN7)</f>
        <v>5928</v>
      </c>
    </row>
    <row r="8" spans="1:41" x14ac:dyDescent="0.65">
      <c r="A8" s="14">
        <v>3</v>
      </c>
      <c r="B8" s="17">
        <v>2512988557</v>
      </c>
      <c r="C8" s="18" t="s">
        <v>18</v>
      </c>
      <c r="D8" s="15" t="s">
        <v>37</v>
      </c>
      <c r="E8" s="7" t="s">
        <v>13</v>
      </c>
      <c r="F8" s="22" t="s">
        <v>14</v>
      </c>
      <c r="G8" s="22" t="s">
        <v>14</v>
      </c>
      <c r="H8" s="22" t="s">
        <v>14</v>
      </c>
      <c r="I8" s="22" t="s">
        <v>14</v>
      </c>
      <c r="J8" s="22" t="s">
        <v>14</v>
      </c>
      <c r="K8" s="23" t="s">
        <v>14</v>
      </c>
      <c r="L8" s="22" t="s">
        <v>0</v>
      </c>
      <c r="M8" s="22" t="s">
        <v>0</v>
      </c>
      <c r="N8" s="22" t="s">
        <v>0</v>
      </c>
      <c r="O8" s="22" t="s">
        <v>14</v>
      </c>
      <c r="P8" s="22" t="s">
        <v>14</v>
      </c>
      <c r="Q8" s="22" t="s">
        <v>14</v>
      </c>
      <c r="R8" s="23"/>
      <c r="S8" s="22" t="s">
        <v>14</v>
      </c>
      <c r="T8" s="22" t="s">
        <v>14</v>
      </c>
      <c r="U8" s="22" t="s">
        <v>14</v>
      </c>
      <c r="V8" s="22" t="s">
        <v>14</v>
      </c>
      <c r="W8" s="22" t="s">
        <v>0</v>
      </c>
      <c r="X8" s="42"/>
      <c r="Y8" s="43"/>
      <c r="Z8" s="43"/>
      <c r="AA8" s="43"/>
      <c r="AB8" s="44"/>
      <c r="AC8" s="31" t="s">
        <v>14</v>
      </c>
      <c r="AD8" s="31" t="s">
        <v>14</v>
      </c>
      <c r="AE8" s="22" t="s">
        <v>14</v>
      </c>
      <c r="AF8" s="23"/>
      <c r="AG8" s="22" t="s">
        <v>14</v>
      </c>
      <c r="AH8" s="22" t="s">
        <v>0</v>
      </c>
      <c r="AI8" s="22" t="s">
        <v>0</v>
      </c>
      <c r="AJ8" s="22" t="s">
        <v>0</v>
      </c>
      <c r="AK8" s="9">
        <f t="shared" si="0"/>
        <v>17</v>
      </c>
      <c r="AL8" s="48">
        <v>312</v>
      </c>
      <c r="AM8" s="49" t="s">
        <v>47</v>
      </c>
      <c r="AN8" s="50">
        <f t="shared" si="1"/>
        <v>5304</v>
      </c>
      <c r="AO8" s="50">
        <f t="shared" si="2"/>
        <v>5304</v>
      </c>
    </row>
    <row r="9" spans="1:41" x14ac:dyDescent="0.65">
      <c r="A9" s="14">
        <v>4</v>
      </c>
      <c r="B9" s="17">
        <v>2356387940</v>
      </c>
      <c r="C9" s="18" t="s">
        <v>19</v>
      </c>
      <c r="D9" s="15" t="s">
        <v>37</v>
      </c>
      <c r="E9" s="7" t="s">
        <v>13</v>
      </c>
      <c r="F9" s="22" t="s">
        <v>14</v>
      </c>
      <c r="G9" s="22" t="s">
        <v>14</v>
      </c>
      <c r="H9" s="22" t="s">
        <v>14</v>
      </c>
      <c r="I9" s="22" t="s">
        <v>14</v>
      </c>
      <c r="J9" s="22" t="s">
        <v>14</v>
      </c>
      <c r="K9" s="23" t="s">
        <v>14</v>
      </c>
      <c r="L9" s="22" t="s">
        <v>0</v>
      </c>
      <c r="M9" s="22" t="s">
        <v>14</v>
      </c>
      <c r="N9" s="22" t="s">
        <v>14</v>
      </c>
      <c r="O9" s="22" t="s">
        <v>14</v>
      </c>
      <c r="P9" s="22" t="s">
        <v>0</v>
      </c>
      <c r="Q9" s="22" t="s">
        <v>14</v>
      </c>
      <c r="R9" s="23"/>
      <c r="S9" s="22" t="s">
        <v>14</v>
      </c>
      <c r="T9" s="22" t="s">
        <v>14</v>
      </c>
      <c r="U9" s="22" t="s">
        <v>14</v>
      </c>
      <c r="V9" s="22" t="s">
        <v>14</v>
      </c>
      <c r="W9" s="22" t="s">
        <v>14</v>
      </c>
      <c r="X9" s="42"/>
      <c r="Y9" s="43"/>
      <c r="Z9" s="43"/>
      <c r="AA9" s="43"/>
      <c r="AB9" s="44"/>
      <c r="AC9" s="31" t="s">
        <v>14</v>
      </c>
      <c r="AD9" s="31" t="s">
        <v>14</v>
      </c>
      <c r="AE9" s="22" t="s">
        <v>0</v>
      </c>
      <c r="AF9" s="23"/>
      <c r="AG9" s="22" t="s">
        <v>14</v>
      </c>
      <c r="AH9" s="22" t="s">
        <v>0</v>
      </c>
      <c r="AI9" s="22" t="s">
        <v>0</v>
      </c>
      <c r="AJ9" s="22" t="s">
        <v>0</v>
      </c>
      <c r="AK9" s="9">
        <f t="shared" si="0"/>
        <v>18</v>
      </c>
      <c r="AL9" s="48">
        <v>312</v>
      </c>
      <c r="AM9" s="49" t="s">
        <v>47</v>
      </c>
      <c r="AN9" s="50">
        <f t="shared" si="1"/>
        <v>5616</v>
      </c>
      <c r="AO9" s="50">
        <f t="shared" si="2"/>
        <v>5616</v>
      </c>
    </row>
    <row r="10" spans="1:41" x14ac:dyDescent="0.65">
      <c r="A10" s="14">
        <v>5</v>
      </c>
      <c r="B10" s="17">
        <v>2356387940</v>
      </c>
      <c r="C10" s="18" t="s">
        <v>20</v>
      </c>
      <c r="D10" s="16" t="s">
        <v>37</v>
      </c>
      <c r="E10" s="7" t="s">
        <v>13</v>
      </c>
      <c r="F10" s="22" t="s">
        <v>0</v>
      </c>
      <c r="G10" s="22" t="s">
        <v>0</v>
      </c>
      <c r="H10" s="22" t="s">
        <v>0</v>
      </c>
      <c r="I10" s="22" t="s">
        <v>0</v>
      </c>
      <c r="J10" s="22" t="s">
        <v>0</v>
      </c>
      <c r="K10" s="23" t="s">
        <v>14</v>
      </c>
      <c r="L10" s="22" t="s">
        <v>0</v>
      </c>
      <c r="M10" s="22" t="s">
        <v>14</v>
      </c>
      <c r="N10" s="22" t="s">
        <v>14</v>
      </c>
      <c r="O10" s="22" t="s">
        <v>14</v>
      </c>
      <c r="P10" s="22" t="s">
        <v>0</v>
      </c>
      <c r="Q10" s="22" t="s">
        <v>14</v>
      </c>
      <c r="R10" s="23"/>
      <c r="S10" s="22" t="s">
        <v>0</v>
      </c>
      <c r="T10" s="22" t="s">
        <v>14</v>
      </c>
      <c r="U10" s="22" t="s">
        <v>0</v>
      </c>
      <c r="V10" s="22" t="s">
        <v>0</v>
      </c>
      <c r="W10" s="22" t="s">
        <v>14</v>
      </c>
      <c r="X10" s="42"/>
      <c r="Y10" s="43"/>
      <c r="Z10" s="43"/>
      <c r="AA10" s="43"/>
      <c r="AB10" s="44"/>
      <c r="AC10" s="31" t="s">
        <v>14</v>
      </c>
      <c r="AD10" s="31" t="s">
        <v>14</v>
      </c>
      <c r="AE10" s="22" t="s">
        <v>14</v>
      </c>
      <c r="AF10" s="23"/>
      <c r="AG10" s="22" t="s">
        <v>14</v>
      </c>
      <c r="AH10" s="22" t="s">
        <v>0</v>
      </c>
      <c r="AI10" s="22" t="s">
        <v>0</v>
      </c>
      <c r="AJ10" s="22" t="s">
        <v>0</v>
      </c>
      <c r="AK10" s="9">
        <f t="shared" si="0"/>
        <v>11</v>
      </c>
      <c r="AL10" s="48">
        <v>312</v>
      </c>
      <c r="AM10" s="49" t="s">
        <v>47</v>
      </c>
      <c r="AN10" s="50">
        <f t="shared" si="1"/>
        <v>3432</v>
      </c>
      <c r="AO10" s="50">
        <f t="shared" si="2"/>
        <v>3432</v>
      </c>
    </row>
    <row r="11" spans="1:41" x14ac:dyDescent="0.65">
      <c r="A11" s="14">
        <v>6</v>
      </c>
      <c r="B11" s="17">
        <v>2516084932</v>
      </c>
      <c r="C11" s="18" t="s">
        <v>21</v>
      </c>
      <c r="D11" s="15" t="s">
        <v>37</v>
      </c>
      <c r="E11" s="7" t="s">
        <v>13</v>
      </c>
      <c r="F11" s="22" t="s">
        <v>0</v>
      </c>
      <c r="G11" s="22" t="s">
        <v>0</v>
      </c>
      <c r="H11" s="22" t="s">
        <v>0</v>
      </c>
      <c r="I11" s="22" t="s">
        <v>0</v>
      </c>
      <c r="J11" s="22" t="s">
        <v>0</v>
      </c>
      <c r="K11" s="23" t="s">
        <v>14</v>
      </c>
      <c r="L11" s="22" t="s">
        <v>0</v>
      </c>
      <c r="M11" s="22" t="s">
        <v>14</v>
      </c>
      <c r="N11" s="22" t="s">
        <v>14</v>
      </c>
      <c r="O11" s="22" t="s">
        <v>14</v>
      </c>
      <c r="P11" s="22" t="s">
        <v>0</v>
      </c>
      <c r="Q11" s="22" t="s">
        <v>0</v>
      </c>
      <c r="R11" s="23"/>
      <c r="S11" s="22" t="s">
        <v>0</v>
      </c>
      <c r="T11" s="22" t="s">
        <v>0</v>
      </c>
      <c r="U11" s="22" t="s">
        <v>14</v>
      </c>
      <c r="V11" s="22" t="s">
        <v>14</v>
      </c>
      <c r="W11" s="22" t="s">
        <v>14</v>
      </c>
      <c r="X11" s="42"/>
      <c r="Y11" s="43"/>
      <c r="Z11" s="43"/>
      <c r="AA11" s="43"/>
      <c r="AB11" s="44"/>
      <c r="AC11" s="31" t="s">
        <v>14</v>
      </c>
      <c r="AD11" s="31" t="s">
        <v>14</v>
      </c>
      <c r="AE11" s="22" t="s">
        <v>14</v>
      </c>
      <c r="AF11" s="23"/>
      <c r="AG11" s="22" t="s">
        <v>14</v>
      </c>
      <c r="AH11" s="22" t="s">
        <v>0</v>
      </c>
      <c r="AI11" s="22" t="s">
        <v>0</v>
      </c>
      <c r="AJ11" s="22" t="s">
        <v>0</v>
      </c>
      <c r="AK11" s="9">
        <f t="shared" si="0"/>
        <v>11</v>
      </c>
      <c r="AL11" s="48">
        <v>312</v>
      </c>
      <c r="AM11" s="49" t="s">
        <v>47</v>
      </c>
      <c r="AN11" s="50">
        <f t="shared" si="1"/>
        <v>3432</v>
      </c>
      <c r="AO11" s="50">
        <f t="shared" si="2"/>
        <v>3432</v>
      </c>
    </row>
    <row r="12" spans="1:41" x14ac:dyDescent="0.65">
      <c r="A12" s="14">
        <v>7</v>
      </c>
      <c r="B12" s="17">
        <v>2534020967</v>
      </c>
      <c r="C12" s="18" t="s">
        <v>22</v>
      </c>
      <c r="D12" s="15" t="s">
        <v>37</v>
      </c>
      <c r="E12" s="7" t="s">
        <v>13</v>
      </c>
      <c r="F12" s="22" t="s">
        <v>0</v>
      </c>
      <c r="G12" s="22" t="s">
        <v>0</v>
      </c>
      <c r="H12" s="22" t="s">
        <v>0</v>
      </c>
      <c r="I12" s="22" t="s">
        <v>0</v>
      </c>
      <c r="J12" s="22" t="s">
        <v>0</v>
      </c>
      <c r="K12" s="23"/>
      <c r="L12" s="22" t="s">
        <v>0</v>
      </c>
      <c r="M12" s="22" t="s">
        <v>14</v>
      </c>
      <c r="N12" s="22" t="s">
        <v>14</v>
      </c>
      <c r="O12" s="22" t="s">
        <v>14</v>
      </c>
      <c r="P12" s="22" t="s">
        <v>0</v>
      </c>
      <c r="Q12" s="22" t="s">
        <v>0</v>
      </c>
      <c r="R12" s="23"/>
      <c r="S12" s="22" t="s">
        <v>0</v>
      </c>
      <c r="T12" s="22" t="s">
        <v>0</v>
      </c>
      <c r="U12" s="22" t="s">
        <v>14</v>
      </c>
      <c r="V12" s="22" t="s">
        <v>14</v>
      </c>
      <c r="W12" s="22" t="s">
        <v>14</v>
      </c>
      <c r="X12" s="42"/>
      <c r="Y12" s="43"/>
      <c r="Z12" s="43"/>
      <c r="AA12" s="43"/>
      <c r="AB12" s="44"/>
      <c r="AC12" s="31" t="s">
        <v>14</v>
      </c>
      <c r="AD12" s="22" t="s">
        <v>0</v>
      </c>
      <c r="AE12" s="22" t="s">
        <v>14</v>
      </c>
      <c r="AF12" s="23"/>
      <c r="AG12" s="22" t="s">
        <v>0</v>
      </c>
      <c r="AH12" s="22" t="s">
        <v>0</v>
      </c>
      <c r="AI12" s="22" t="s">
        <v>0</v>
      </c>
      <c r="AJ12" s="22" t="s">
        <v>0</v>
      </c>
      <c r="AK12" s="9">
        <f t="shared" si="0"/>
        <v>8</v>
      </c>
      <c r="AL12" s="48">
        <v>312</v>
      </c>
      <c r="AM12" s="49" t="s">
        <v>47</v>
      </c>
      <c r="AN12" s="50">
        <f t="shared" si="1"/>
        <v>2496</v>
      </c>
      <c r="AO12" s="50">
        <f t="shared" si="2"/>
        <v>2496</v>
      </c>
    </row>
    <row r="13" spans="1:41" x14ac:dyDescent="0.65">
      <c r="A13" s="14">
        <v>8</v>
      </c>
      <c r="B13" s="17">
        <v>2597371760</v>
      </c>
      <c r="C13" s="18" t="s">
        <v>29</v>
      </c>
      <c r="D13" s="15" t="s">
        <v>37</v>
      </c>
      <c r="E13" s="7" t="s">
        <v>13</v>
      </c>
      <c r="F13" s="22" t="s">
        <v>0</v>
      </c>
      <c r="G13" s="22" t="s">
        <v>0</v>
      </c>
      <c r="H13" s="22" t="s">
        <v>0</v>
      </c>
      <c r="I13" s="22" t="s">
        <v>0</v>
      </c>
      <c r="J13" s="22" t="s">
        <v>0</v>
      </c>
      <c r="K13" s="23"/>
      <c r="L13" s="22" t="s">
        <v>0</v>
      </c>
      <c r="M13" s="22" t="s">
        <v>0</v>
      </c>
      <c r="N13" s="22" t="s">
        <v>14</v>
      </c>
      <c r="O13" s="22" t="s">
        <v>0</v>
      </c>
      <c r="P13" s="22" t="s">
        <v>0</v>
      </c>
      <c r="Q13" s="22" t="s">
        <v>0</v>
      </c>
      <c r="R13" s="23"/>
      <c r="S13" s="22" t="s">
        <v>0</v>
      </c>
      <c r="T13" s="22" t="s">
        <v>0</v>
      </c>
      <c r="U13" s="22" t="s">
        <v>0</v>
      </c>
      <c r="V13" s="22" t="s">
        <v>14</v>
      </c>
      <c r="W13" s="22" t="s">
        <v>0</v>
      </c>
      <c r="X13" s="42"/>
      <c r="Y13" s="43"/>
      <c r="Z13" s="43"/>
      <c r="AA13" s="43"/>
      <c r="AB13" s="44"/>
      <c r="AC13" s="31" t="s">
        <v>0</v>
      </c>
      <c r="AD13" s="22" t="s">
        <v>0</v>
      </c>
      <c r="AE13" s="22" t="s">
        <v>14</v>
      </c>
      <c r="AF13" s="23"/>
      <c r="AG13" s="22" t="s">
        <v>0</v>
      </c>
      <c r="AH13" s="22" t="s">
        <v>0</v>
      </c>
      <c r="AI13" s="22" t="s">
        <v>0</v>
      </c>
      <c r="AJ13" s="22" t="s">
        <v>0</v>
      </c>
      <c r="AK13" s="9">
        <f t="shared" si="0"/>
        <v>3</v>
      </c>
      <c r="AL13" s="48">
        <v>312</v>
      </c>
      <c r="AM13" s="49" t="s">
        <v>47</v>
      </c>
      <c r="AN13" s="50">
        <f t="shared" si="1"/>
        <v>936</v>
      </c>
      <c r="AO13" s="50">
        <f t="shared" si="2"/>
        <v>936</v>
      </c>
    </row>
    <row r="14" spans="1:41" x14ac:dyDescent="0.65">
      <c r="A14" s="14">
        <v>9</v>
      </c>
      <c r="B14" s="17">
        <v>2593179258</v>
      </c>
      <c r="C14" s="18" t="s">
        <v>23</v>
      </c>
      <c r="D14" s="15" t="s">
        <v>38</v>
      </c>
      <c r="E14" s="7" t="s">
        <v>13</v>
      </c>
      <c r="F14" s="22" t="s">
        <v>0</v>
      </c>
      <c r="G14" s="22" t="s">
        <v>14</v>
      </c>
      <c r="H14" s="22" t="s">
        <v>0</v>
      </c>
      <c r="I14" s="22" t="s">
        <v>0</v>
      </c>
      <c r="J14" s="22" t="s">
        <v>14</v>
      </c>
      <c r="K14" s="23" t="s">
        <v>14</v>
      </c>
      <c r="L14" s="22" t="s">
        <v>0</v>
      </c>
      <c r="M14" s="22" t="s">
        <v>14</v>
      </c>
      <c r="N14" s="22" t="s">
        <v>0</v>
      </c>
      <c r="O14" s="22" t="s">
        <v>0</v>
      </c>
      <c r="P14" s="22" t="s">
        <v>0</v>
      </c>
      <c r="Q14" s="22" t="s">
        <v>0</v>
      </c>
      <c r="R14" s="23"/>
      <c r="S14" s="22" t="s">
        <v>14</v>
      </c>
      <c r="T14" s="22" t="s">
        <v>0</v>
      </c>
      <c r="U14" s="22" t="s">
        <v>14</v>
      </c>
      <c r="V14" s="22" t="s">
        <v>0</v>
      </c>
      <c r="W14" s="22" t="s">
        <v>14</v>
      </c>
      <c r="X14" s="42"/>
      <c r="Y14" s="43"/>
      <c r="Z14" s="43"/>
      <c r="AA14" s="43"/>
      <c r="AB14" s="44"/>
      <c r="AC14" s="31" t="s">
        <v>0</v>
      </c>
      <c r="AD14" s="31" t="s">
        <v>0</v>
      </c>
      <c r="AE14" s="22" t="s">
        <v>0</v>
      </c>
      <c r="AF14" s="23"/>
      <c r="AG14" s="22" t="s">
        <v>0</v>
      </c>
      <c r="AH14" s="22" t="s">
        <v>0</v>
      </c>
      <c r="AI14" s="22" t="s">
        <v>0</v>
      </c>
      <c r="AJ14" s="22" t="s">
        <v>0</v>
      </c>
      <c r="AK14" s="9">
        <f t="shared" si="0"/>
        <v>7</v>
      </c>
      <c r="AL14" s="48">
        <v>312</v>
      </c>
      <c r="AM14" s="49" t="s">
        <v>47</v>
      </c>
      <c r="AN14" s="50">
        <f t="shared" si="1"/>
        <v>2184</v>
      </c>
      <c r="AO14" s="50">
        <f t="shared" si="2"/>
        <v>2184</v>
      </c>
    </row>
    <row r="15" spans="1:41" x14ac:dyDescent="0.65">
      <c r="A15" s="14">
        <v>10</v>
      </c>
      <c r="B15" s="17">
        <v>2231920501</v>
      </c>
      <c r="C15" s="18" t="s">
        <v>24</v>
      </c>
      <c r="D15" s="15" t="s">
        <v>38</v>
      </c>
      <c r="E15" s="7" t="s">
        <v>13</v>
      </c>
      <c r="F15" s="22" t="s">
        <v>0</v>
      </c>
      <c r="G15" s="22" t="s">
        <v>0</v>
      </c>
      <c r="H15" s="22" t="s">
        <v>14</v>
      </c>
      <c r="I15" s="22" t="s">
        <v>0</v>
      </c>
      <c r="J15" s="22" t="s">
        <v>0</v>
      </c>
      <c r="K15" s="23" t="s">
        <v>14</v>
      </c>
      <c r="L15" s="22" t="s">
        <v>0</v>
      </c>
      <c r="M15" s="22" t="s">
        <v>14</v>
      </c>
      <c r="N15" s="22" t="s">
        <v>14</v>
      </c>
      <c r="O15" s="22" t="s">
        <v>14</v>
      </c>
      <c r="P15" s="22" t="s">
        <v>0</v>
      </c>
      <c r="Q15" s="22" t="s">
        <v>14</v>
      </c>
      <c r="R15" s="23"/>
      <c r="S15" s="22" t="s">
        <v>14</v>
      </c>
      <c r="T15" s="22" t="s">
        <v>14</v>
      </c>
      <c r="U15" s="22" t="s">
        <v>0</v>
      </c>
      <c r="V15" s="22" t="s">
        <v>14</v>
      </c>
      <c r="W15" s="22" t="s">
        <v>0</v>
      </c>
      <c r="X15" s="42"/>
      <c r="Y15" s="43"/>
      <c r="Z15" s="43"/>
      <c r="AA15" s="43"/>
      <c r="AB15" s="44"/>
      <c r="AC15" s="31" t="s">
        <v>0</v>
      </c>
      <c r="AD15" s="31" t="s">
        <v>14</v>
      </c>
      <c r="AE15" s="22" t="s">
        <v>14</v>
      </c>
      <c r="AF15" s="23"/>
      <c r="AG15" s="22" t="s">
        <v>0</v>
      </c>
      <c r="AH15" s="22" t="s">
        <v>0</v>
      </c>
      <c r="AI15" s="22" t="s">
        <v>0</v>
      </c>
      <c r="AJ15" s="22" t="s">
        <v>0</v>
      </c>
      <c r="AK15" s="9">
        <f t="shared" si="0"/>
        <v>11</v>
      </c>
      <c r="AL15" s="48">
        <v>312</v>
      </c>
      <c r="AM15" s="49" t="s">
        <v>47</v>
      </c>
      <c r="AN15" s="50">
        <f t="shared" si="1"/>
        <v>3432</v>
      </c>
      <c r="AO15" s="50">
        <f t="shared" si="2"/>
        <v>3432</v>
      </c>
    </row>
    <row r="16" spans="1:41" x14ac:dyDescent="0.65">
      <c r="A16" s="14">
        <v>11</v>
      </c>
      <c r="B16" s="17">
        <v>2561443298</v>
      </c>
      <c r="C16" s="18" t="s">
        <v>25</v>
      </c>
      <c r="D16" s="15" t="s">
        <v>38</v>
      </c>
      <c r="E16" s="7" t="s">
        <v>13</v>
      </c>
      <c r="F16" s="22" t="s">
        <v>14</v>
      </c>
      <c r="G16" s="22" t="s">
        <v>0</v>
      </c>
      <c r="H16" s="22" t="s">
        <v>0</v>
      </c>
      <c r="I16" s="22" t="s">
        <v>0</v>
      </c>
      <c r="J16" s="22" t="s">
        <v>0</v>
      </c>
      <c r="K16" s="23" t="s">
        <v>14</v>
      </c>
      <c r="L16" s="22" t="s">
        <v>0</v>
      </c>
      <c r="M16" s="22" t="s">
        <v>0</v>
      </c>
      <c r="N16" s="22" t="s">
        <v>0</v>
      </c>
      <c r="O16" s="22" t="s">
        <v>14</v>
      </c>
      <c r="P16" s="22" t="s">
        <v>14</v>
      </c>
      <c r="Q16" s="22" t="s">
        <v>0</v>
      </c>
      <c r="R16" s="23"/>
      <c r="S16" s="22" t="s">
        <v>14</v>
      </c>
      <c r="T16" s="22" t="s">
        <v>0</v>
      </c>
      <c r="U16" s="22" t="s">
        <v>0</v>
      </c>
      <c r="V16" s="22" t="s">
        <v>0</v>
      </c>
      <c r="W16" s="22" t="s">
        <v>0</v>
      </c>
      <c r="X16" s="42"/>
      <c r="Y16" s="43"/>
      <c r="Z16" s="43"/>
      <c r="AA16" s="43"/>
      <c r="AB16" s="44"/>
      <c r="AC16" s="31" t="s">
        <v>14</v>
      </c>
      <c r="AD16" s="31" t="s">
        <v>14</v>
      </c>
      <c r="AE16" s="22" t="s">
        <v>0</v>
      </c>
      <c r="AF16" s="23"/>
      <c r="AG16" s="22" t="s">
        <v>0</v>
      </c>
      <c r="AH16" s="22" t="s">
        <v>0</v>
      </c>
      <c r="AI16" s="22" t="s">
        <v>0</v>
      </c>
      <c r="AJ16" s="22" t="s">
        <v>0</v>
      </c>
      <c r="AK16" s="9">
        <f t="shared" si="0"/>
        <v>7</v>
      </c>
      <c r="AL16" s="48">
        <v>312</v>
      </c>
      <c r="AM16" s="49" t="s">
        <v>47</v>
      </c>
      <c r="AN16" s="50">
        <f t="shared" si="1"/>
        <v>2184</v>
      </c>
      <c r="AO16" s="50">
        <f t="shared" si="2"/>
        <v>2184</v>
      </c>
    </row>
    <row r="17" spans="1:55" x14ac:dyDescent="0.65">
      <c r="A17" s="14">
        <v>12</v>
      </c>
      <c r="B17" s="17">
        <v>2561443225</v>
      </c>
      <c r="C17" s="18" t="s">
        <v>26</v>
      </c>
      <c r="D17" s="15" t="s">
        <v>38</v>
      </c>
      <c r="E17" s="7" t="s">
        <v>13</v>
      </c>
      <c r="F17" s="22" t="s">
        <v>0</v>
      </c>
      <c r="G17" s="22" t="s">
        <v>0</v>
      </c>
      <c r="H17" s="22" t="s">
        <v>0</v>
      </c>
      <c r="I17" s="22" t="s">
        <v>14</v>
      </c>
      <c r="J17" s="22" t="s">
        <v>0</v>
      </c>
      <c r="K17" s="23"/>
      <c r="L17" s="22" t="s">
        <v>0</v>
      </c>
      <c r="M17" s="22" t="s">
        <v>14</v>
      </c>
      <c r="N17" s="22" t="s">
        <v>14</v>
      </c>
      <c r="O17" s="22" t="s">
        <v>14</v>
      </c>
      <c r="P17" s="22" t="s">
        <v>0</v>
      </c>
      <c r="Q17" s="22" t="s">
        <v>0</v>
      </c>
      <c r="R17" s="23"/>
      <c r="S17" s="22" t="s">
        <v>0</v>
      </c>
      <c r="T17" s="22" t="s">
        <v>0</v>
      </c>
      <c r="U17" s="22" t="s">
        <v>0</v>
      </c>
      <c r="V17" s="22" t="s">
        <v>0</v>
      </c>
      <c r="W17" s="22" t="s">
        <v>0</v>
      </c>
      <c r="X17" s="42"/>
      <c r="Y17" s="43"/>
      <c r="Z17" s="43"/>
      <c r="AA17" s="43"/>
      <c r="AB17" s="44"/>
      <c r="AC17" s="31" t="s">
        <v>0</v>
      </c>
      <c r="AD17" s="31" t="s">
        <v>14</v>
      </c>
      <c r="AE17" s="22" t="s">
        <v>0</v>
      </c>
      <c r="AF17" s="23"/>
      <c r="AG17" s="22" t="s">
        <v>14</v>
      </c>
      <c r="AH17" s="22" t="s">
        <v>0</v>
      </c>
      <c r="AI17" s="22" t="s">
        <v>0</v>
      </c>
      <c r="AJ17" s="22" t="s">
        <v>0</v>
      </c>
      <c r="AK17" s="9">
        <f t="shared" si="0"/>
        <v>6</v>
      </c>
      <c r="AL17" s="48">
        <v>312</v>
      </c>
      <c r="AM17" s="49" t="s">
        <v>47</v>
      </c>
      <c r="AN17" s="50">
        <f t="shared" si="1"/>
        <v>1872</v>
      </c>
      <c r="AO17" s="50">
        <f t="shared" si="2"/>
        <v>1872</v>
      </c>
    </row>
    <row r="18" spans="1:55" x14ac:dyDescent="0.65">
      <c r="A18" s="14">
        <v>13</v>
      </c>
      <c r="B18" s="17">
        <v>2520091246</v>
      </c>
      <c r="C18" s="18" t="s">
        <v>27</v>
      </c>
      <c r="D18" s="15" t="s">
        <v>38</v>
      </c>
      <c r="E18" s="7" t="s">
        <v>13</v>
      </c>
      <c r="F18" s="22" t="s">
        <v>0</v>
      </c>
      <c r="G18" s="22" t="s">
        <v>0</v>
      </c>
      <c r="H18" s="22" t="s">
        <v>0</v>
      </c>
      <c r="I18" s="22" t="s">
        <v>0</v>
      </c>
      <c r="J18" s="22" t="s">
        <v>0</v>
      </c>
      <c r="K18" s="23"/>
      <c r="L18" s="22" t="s">
        <v>0</v>
      </c>
      <c r="M18" s="22" t="s">
        <v>0</v>
      </c>
      <c r="N18" s="22" t="s">
        <v>14</v>
      </c>
      <c r="O18" s="22" t="s">
        <v>0</v>
      </c>
      <c r="P18" s="22" t="s">
        <v>0</v>
      </c>
      <c r="Q18" s="22" t="s">
        <v>0</v>
      </c>
      <c r="R18" s="23"/>
      <c r="S18" s="22" t="s">
        <v>0</v>
      </c>
      <c r="T18" s="22" t="s">
        <v>0</v>
      </c>
      <c r="U18" s="22" t="s">
        <v>0</v>
      </c>
      <c r="V18" s="22" t="s">
        <v>0</v>
      </c>
      <c r="W18" s="22" t="s">
        <v>0</v>
      </c>
      <c r="X18" s="42"/>
      <c r="Y18" s="43"/>
      <c r="Z18" s="43"/>
      <c r="AA18" s="43"/>
      <c r="AB18" s="44"/>
      <c r="AC18" s="31" t="s">
        <v>0</v>
      </c>
      <c r="AD18" s="22" t="s">
        <v>0</v>
      </c>
      <c r="AE18" s="22" t="s">
        <v>0</v>
      </c>
      <c r="AF18" s="23"/>
      <c r="AG18" s="22" t="s">
        <v>0</v>
      </c>
      <c r="AH18" s="22" t="s">
        <v>0</v>
      </c>
      <c r="AI18" s="22" t="s">
        <v>0</v>
      </c>
      <c r="AJ18" s="22" t="s">
        <v>0</v>
      </c>
      <c r="AK18" s="9">
        <f t="shared" si="0"/>
        <v>1</v>
      </c>
      <c r="AL18" s="48">
        <v>312</v>
      </c>
      <c r="AM18" s="49" t="s">
        <v>47</v>
      </c>
      <c r="AN18" s="50">
        <f t="shared" si="1"/>
        <v>312</v>
      </c>
      <c r="AO18" s="50">
        <f t="shared" si="2"/>
        <v>312</v>
      </c>
    </row>
    <row r="19" spans="1:55" ht="35.4" thickBot="1" x14ac:dyDescent="0.7">
      <c r="G19" s="10"/>
      <c r="AI19" s="51" t="s">
        <v>49</v>
      </c>
      <c r="AJ19" s="51"/>
      <c r="AK19" s="52">
        <f>SUM(AK6:AK18)</f>
        <v>132</v>
      </c>
      <c r="AL19" s="53">
        <v>312</v>
      </c>
      <c r="AM19" s="54"/>
      <c r="AN19" s="55"/>
      <c r="AO19" s="56">
        <f>SUM(AO6:AO18)</f>
        <v>41184</v>
      </c>
    </row>
    <row r="20" spans="1:55" x14ac:dyDescent="0.65">
      <c r="G20" s="10"/>
    </row>
    <row r="21" spans="1:55" x14ac:dyDescent="0.65">
      <c r="G21" s="10"/>
    </row>
    <row r="22" spans="1:55" x14ac:dyDescent="0.65">
      <c r="G22" s="10"/>
    </row>
    <row r="23" spans="1:55" x14ac:dyDescent="0.65">
      <c r="G23" s="10"/>
    </row>
    <row r="24" spans="1:55" x14ac:dyDescent="0.65">
      <c r="G24" s="10"/>
    </row>
    <row r="25" spans="1:55" x14ac:dyDescent="0.65">
      <c r="G25" s="10"/>
    </row>
    <row r="26" spans="1:55" x14ac:dyDescent="0.65">
      <c r="G26" s="10"/>
      <c r="BA26" s="10"/>
    </row>
    <row r="27" spans="1:55" x14ac:dyDescent="0.65">
      <c r="G27" s="10"/>
      <c r="BA27" s="10"/>
    </row>
    <row r="28" spans="1:55" x14ac:dyDescent="0.65">
      <c r="G28" s="10"/>
      <c r="BC28" s="10"/>
    </row>
    <row r="29" spans="1:55" x14ac:dyDescent="0.65">
      <c r="G29" s="10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0"/>
    </row>
    <row r="30" spans="1:55" x14ac:dyDescent="0.65">
      <c r="G30" s="10"/>
      <c r="BC30" s="10"/>
    </row>
    <row r="31" spans="1:55" x14ac:dyDescent="0.65">
      <c r="G31" s="10"/>
    </row>
    <row r="32" spans="1:55" x14ac:dyDescent="0.65">
      <c r="G32" s="10"/>
    </row>
    <row r="33" spans="7:7" x14ac:dyDescent="0.65">
      <c r="G33" s="10"/>
    </row>
    <row r="34" spans="7:7" x14ac:dyDescent="0.65">
      <c r="G34" s="10"/>
    </row>
    <row r="35" spans="7:7" x14ac:dyDescent="0.65">
      <c r="G35" s="10"/>
    </row>
    <row r="36" spans="7:7" x14ac:dyDescent="0.65">
      <c r="G36" s="10"/>
    </row>
    <row r="37" spans="7:7" x14ac:dyDescent="0.65">
      <c r="G37" s="10"/>
    </row>
    <row r="38" spans="7:7" x14ac:dyDescent="0.65">
      <c r="G38" s="10"/>
    </row>
    <row r="39" spans="7:7" x14ac:dyDescent="0.65">
      <c r="G39" s="10"/>
    </row>
    <row r="40" spans="7:7" x14ac:dyDescent="0.65">
      <c r="G40" s="10"/>
    </row>
    <row r="41" spans="7:7" x14ac:dyDescent="0.65">
      <c r="G41" s="10"/>
    </row>
    <row r="42" spans="7:7" x14ac:dyDescent="0.65">
      <c r="G42" s="10"/>
    </row>
    <row r="43" spans="7:7" x14ac:dyDescent="0.65">
      <c r="G43" s="10"/>
    </row>
    <row r="44" spans="7:7" x14ac:dyDescent="0.65">
      <c r="G44" s="10"/>
    </row>
    <row r="45" spans="7:7" x14ac:dyDescent="0.65">
      <c r="G45" s="10"/>
    </row>
    <row r="46" spans="7:7" x14ac:dyDescent="0.65">
      <c r="G46" s="10"/>
    </row>
    <row r="47" spans="7:7" x14ac:dyDescent="0.65">
      <c r="G47" s="10"/>
    </row>
    <row r="48" spans="7:7" x14ac:dyDescent="0.65">
      <c r="G48" s="10"/>
    </row>
    <row r="49" spans="7:7" x14ac:dyDescent="0.65">
      <c r="G49" s="10"/>
    </row>
    <row r="50" spans="7:7" x14ac:dyDescent="0.65">
      <c r="G50" s="10"/>
    </row>
    <row r="51" spans="7:7" x14ac:dyDescent="0.65">
      <c r="G51" s="10"/>
    </row>
    <row r="52" spans="7:7" x14ac:dyDescent="0.65">
      <c r="G52" s="10"/>
    </row>
    <row r="53" spans="7:7" x14ac:dyDescent="0.65">
      <c r="G53" s="10"/>
    </row>
    <row r="54" spans="7:7" x14ac:dyDescent="0.65">
      <c r="G54" s="10"/>
    </row>
    <row r="55" spans="7:7" x14ac:dyDescent="0.65">
      <c r="G55" s="10"/>
    </row>
    <row r="56" spans="7:7" x14ac:dyDescent="0.65">
      <c r="G56" s="10"/>
    </row>
    <row r="57" spans="7:7" x14ac:dyDescent="0.65">
      <c r="G57" s="10"/>
    </row>
    <row r="58" spans="7:7" x14ac:dyDescent="0.65">
      <c r="G58" s="10"/>
    </row>
    <row r="59" spans="7:7" x14ac:dyDescent="0.65">
      <c r="G59" s="10"/>
    </row>
    <row r="60" spans="7:7" x14ac:dyDescent="0.65">
      <c r="G60" s="10"/>
    </row>
    <row r="61" spans="7:7" x14ac:dyDescent="0.65">
      <c r="G61" s="10"/>
    </row>
    <row r="62" spans="7:7" x14ac:dyDescent="0.65">
      <c r="G62" s="10"/>
    </row>
    <row r="63" spans="7:7" x14ac:dyDescent="0.65">
      <c r="G63" s="10"/>
    </row>
    <row r="64" spans="7:7" x14ac:dyDescent="0.65">
      <c r="G64" s="10"/>
    </row>
    <row r="65" spans="7:7" x14ac:dyDescent="0.65">
      <c r="G65" s="10"/>
    </row>
    <row r="66" spans="7:7" x14ac:dyDescent="0.65">
      <c r="G66" s="10"/>
    </row>
    <row r="67" spans="7:7" x14ac:dyDescent="0.65">
      <c r="G67" s="10"/>
    </row>
    <row r="68" spans="7:7" x14ac:dyDescent="0.65">
      <c r="G68" s="10"/>
    </row>
    <row r="69" spans="7:7" x14ac:dyDescent="0.65">
      <c r="G69" s="10"/>
    </row>
    <row r="70" spans="7:7" x14ac:dyDescent="0.65">
      <c r="G70" s="10"/>
    </row>
    <row r="71" spans="7:7" x14ac:dyDescent="0.65">
      <c r="G71" s="10"/>
    </row>
    <row r="72" spans="7:7" x14ac:dyDescent="0.65">
      <c r="G72" s="10"/>
    </row>
    <row r="73" spans="7:7" x14ac:dyDescent="0.65">
      <c r="G73" s="10"/>
    </row>
    <row r="74" spans="7:7" x14ac:dyDescent="0.65">
      <c r="G74" s="10"/>
    </row>
    <row r="75" spans="7:7" x14ac:dyDescent="0.65">
      <c r="G75" s="10"/>
    </row>
    <row r="76" spans="7:7" x14ac:dyDescent="0.65">
      <c r="G76" s="10"/>
    </row>
    <row r="77" spans="7:7" x14ac:dyDescent="0.65">
      <c r="G77" s="10"/>
    </row>
    <row r="78" spans="7:7" x14ac:dyDescent="0.65">
      <c r="G78" s="10"/>
    </row>
    <row r="79" spans="7:7" x14ac:dyDescent="0.65">
      <c r="G79" s="10"/>
    </row>
    <row r="80" spans="7:7" x14ac:dyDescent="0.65">
      <c r="G80" s="10"/>
    </row>
    <row r="81" spans="7:7" x14ac:dyDescent="0.65">
      <c r="G81" s="10"/>
    </row>
    <row r="82" spans="7:7" x14ac:dyDescent="0.65">
      <c r="G82" s="10"/>
    </row>
    <row r="83" spans="7:7" x14ac:dyDescent="0.65">
      <c r="G83" s="10"/>
    </row>
    <row r="84" spans="7:7" x14ac:dyDescent="0.65">
      <c r="G84" s="10"/>
    </row>
    <row r="85" spans="7:7" x14ac:dyDescent="0.65">
      <c r="G85" s="10"/>
    </row>
    <row r="86" spans="7:7" x14ac:dyDescent="0.65">
      <c r="G86" s="10"/>
    </row>
    <row r="87" spans="7:7" x14ac:dyDescent="0.65">
      <c r="G87" s="10"/>
    </row>
    <row r="88" spans="7:7" x14ac:dyDescent="0.65">
      <c r="G88" s="10"/>
    </row>
    <row r="89" spans="7:7" x14ac:dyDescent="0.65">
      <c r="G89" s="10"/>
    </row>
    <row r="90" spans="7:7" x14ac:dyDescent="0.65">
      <c r="G90" s="10"/>
    </row>
    <row r="91" spans="7:7" x14ac:dyDescent="0.65">
      <c r="G91" s="10"/>
    </row>
    <row r="92" spans="7:7" x14ac:dyDescent="0.65">
      <c r="G92" s="10"/>
    </row>
    <row r="93" spans="7:7" x14ac:dyDescent="0.65">
      <c r="G93" s="10"/>
    </row>
    <row r="94" spans="7:7" x14ac:dyDescent="0.65">
      <c r="G94" s="10"/>
    </row>
    <row r="95" spans="7:7" x14ac:dyDescent="0.65">
      <c r="G95" s="10"/>
    </row>
    <row r="96" spans="7:7" x14ac:dyDescent="0.65">
      <c r="G96" s="10"/>
    </row>
    <row r="97" spans="7:7" x14ac:dyDescent="0.65">
      <c r="G97" s="10"/>
    </row>
    <row r="98" spans="7:7" x14ac:dyDescent="0.65">
      <c r="G98" s="10"/>
    </row>
    <row r="99" spans="7:7" x14ac:dyDescent="0.65">
      <c r="G99" s="10"/>
    </row>
    <row r="100" spans="7:7" x14ac:dyDescent="0.65">
      <c r="G100" s="10"/>
    </row>
    <row r="101" spans="7:7" x14ac:dyDescent="0.65">
      <c r="G101" s="10"/>
    </row>
    <row r="102" spans="7:7" x14ac:dyDescent="0.65">
      <c r="G102" s="10"/>
    </row>
    <row r="103" spans="7:7" x14ac:dyDescent="0.65">
      <c r="G103" s="10"/>
    </row>
    <row r="104" spans="7:7" x14ac:dyDescent="0.65">
      <c r="G104" s="10"/>
    </row>
    <row r="105" spans="7:7" x14ac:dyDescent="0.65">
      <c r="G105" s="10"/>
    </row>
    <row r="106" spans="7:7" x14ac:dyDescent="0.65">
      <c r="G106" s="10"/>
    </row>
    <row r="107" spans="7:7" x14ac:dyDescent="0.65">
      <c r="G107" s="10"/>
    </row>
    <row r="108" spans="7:7" x14ac:dyDescent="0.65">
      <c r="G108" s="10"/>
    </row>
    <row r="109" spans="7:7" x14ac:dyDescent="0.65">
      <c r="G109" s="10"/>
    </row>
    <row r="110" spans="7:7" x14ac:dyDescent="0.65">
      <c r="G110" s="10"/>
    </row>
    <row r="111" spans="7:7" x14ac:dyDescent="0.65">
      <c r="G111" s="10"/>
    </row>
    <row r="112" spans="7:7" x14ac:dyDescent="0.65">
      <c r="G112" s="10"/>
    </row>
    <row r="113" spans="7:7" x14ac:dyDescent="0.65">
      <c r="G113" s="10"/>
    </row>
    <row r="114" spans="7:7" x14ac:dyDescent="0.65">
      <c r="G114" s="10"/>
    </row>
    <row r="115" spans="7:7" x14ac:dyDescent="0.65">
      <c r="G115" s="10"/>
    </row>
    <row r="116" spans="7:7" x14ac:dyDescent="0.65">
      <c r="G116" s="10"/>
    </row>
    <row r="117" spans="7:7" x14ac:dyDescent="0.65">
      <c r="G117" s="10"/>
    </row>
    <row r="118" spans="7:7" x14ac:dyDescent="0.65">
      <c r="G118" s="10"/>
    </row>
    <row r="119" spans="7:7" x14ac:dyDescent="0.65">
      <c r="G119" s="10"/>
    </row>
    <row r="120" spans="7:7" x14ac:dyDescent="0.65">
      <c r="G120" s="10"/>
    </row>
    <row r="121" spans="7:7" x14ac:dyDescent="0.65">
      <c r="G121" s="10"/>
    </row>
    <row r="122" spans="7:7" x14ac:dyDescent="0.65">
      <c r="G122" s="10"/>
    </row>
    <row r="123" spans="7:7" x14ac:dyDescent="0.65">
      <c r="G123" s="10"/>
    </row>
    <row r="124" spans="7:7" x14ac:dyDescent="0.65">
      <c r="G124" s="10"/>
    </row>
    <row r="125" spans="7:7" x14ac:dyDescent="0.65">
      <c r="G125" s="10"/>
    </row>
    <row r="126" spans="7:7" x14ac:dyDescent="0.65">
      <c r="G126" s="10"/>
    </row>
    <row r="127" spans="7:7" x14ac:dyDescent="0.65">
      <c r="G127" s="10"/>
    </row>
    <row r="128" spans="7:7" x14ac:dyDescent="0.65">
      <c r="G128" s="10"/>
    </row>
    <row r="129" spans="7:38" x14ac:dyDescent="0.65">
      <c r="G129" s="10"/>
    </row>
    <row r="130" spans="7:38" x14ac:dyDescent="0.65">
      <c r="G130" s="10"/>
    </row>
    <row r="131" spans="7:38" x14ac:dyDescent="0.65">
      <c r="G131" s="10"/>
    </row>
    <row r="132" spans="7:38" x14ac:dyDescent="0.65">
      <c r="G132" s="10"/>
    </row>
    <row r="133" spans="7:38" x14ac:dyDescent="0.65">
      <c r="G133" s="10"/>
    </row>
    <row r="134" spans="7:38" x14ac:dyDescent="0.65">
      <c r="G134" s="10"/>
    </row>
    <row r="135" spans="7:38" x14ac:dyDescent="0.65">
      <c r="G135" s="10"/>
    </row>
    <row r="136" spans="7:38" x14ac:dyDescent="0.65">
      <c r="G136" s="10"/>
    </row>
    <row r="140" spans="7:38" x14ac:dyDescent="0.65"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53" spans="39:47" x14ac:dyDescent="0.65">
      <c r="AM153" s="11"/>
      <c r="AN153" s="11"/>
      <c r="AO153" s="11"/>
    </row>
    <row r="160" spans="39:47" x14ac:dyDescent="0.65">
      <c r="AP160" s="11"/>
      <c r="AQ160" s="11"/>
      <c r="AR160" s="11"/>
      <c r="AS160" s="11"/>
      <c r="AT160" s="11"/>
      <c r="AU160" s="11"/>
    </row>
    <row r="168" spans="1:47" ht="19.8" customHeight="1" x14ac:dyDescent="0.65"/>
    <row r="171" spans="1:47" s="11" customFormat="1" ht="58.8" customHeight="1" x14ac:dyDescent="0.6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</row>
  </sheetData>
  <mergeCells count="10">
    <mergeCell ref="AL4:AL5"/>
    <mergeCell ref="AM4:AM5"/>
    <mergeCell ref="AN4:AN5"/>
    <mergeCell ref="AO4:AO5"/>
    <mergeCell ref="X6:AB18"/>
    <mergeCell ref="F1:AK3"/>
    <mergeCell ref="A4:A5"/>
    <mergeCell ref="B4:B5"/>
    <mergeCell ref="C4:C5"/>
    <mergeCell ref="E4:E5"/>
  </mergeCells>
  <phoneticPr fontId="1" type="noConversion"/>
  <conditionalFormatting sqref="F19:AH19 AD12:AJ13 AE6:AJ11 AE15:AF17 AD18:AF18 AG15:AJ18 P6:X6 AE14:AJ14 F6:O18 P7:W18">
    <cfRule type="containsText" dxfId="9" priority="12" operator="containsText" text="A">
      <formula>NOT(ISERROR(SEARCH("A",F6)))</formula>
    </cfRule>
  </conditionalFormatting>
  <conditionalFormatting sqref="F14:J18">
    <cfRule type="containsText" dxfId="8" priority="10" operator="containsText" text="A">
      <formula>NOT(ISERROR(SEARCH("A",F14)))</formula>
    </cfRule>
  </conditionalFormatting>
  <conditionalFormatting sqref="F6:J13">
    <cfRule type="containsText" dxfId="7" priority="9" operator="containsText" text="A">
      <formula>NOT(ISERROR(SEARCH("A",F6)))</formula>
    </cfRule>
  </conditionalFormatting>
  <conditionalFormatting sqref="H6:N13">
    <cfRule type="containsText" dxfId="6" priority="8" operator="containsText" text="A">
      <formula>NOT(ISERROR(SEARCH("A",H6)))</formula>
    </cfRule>
  </conditionalFormatting>
  <conditionalFormatting sqref="G6:G7">
    <cfRule type="containsText" dxfId="5" priority="7" operator="containsText" text="A">
      <formula>NOT(ISERROR(SEARCH("A",G6)))</formula>
    </cfRule>
  </conditionalFormatting>
  <conditionalFormatting sqref="G14:G16 H14:J18">
    <cfRule type="containsText" dxfId="4" priority="6" operator="containsText" text="A">
      <formula>NOT(ISERROR(SEARCH("A",G14)))</formula>
    </cfRule>
  </conditionalFormatting>
  <conditionalFormatting sqref="G8:J13">
    <cfRule type="containsText" dxfId="3" priority="5" operator="containsText" text="A">
      <formula>NOT(ISERROR(SEARCH("A",G8)))</formula>
    </cfRule>
  </conditionalFormatting>
  <conditionalFormatting sqref="N6:N13 P6:Q13">
    <cfRule type="containsText" dxfId="2" priority="4" operator="containsText" text="A">
      <formula>NOT(ISERROR(SEARCH("A",N6)))</formula>
    </cfRule>
  </conditionalFormatting>
  <conditionalFormatting sqref="R6:W13">
    <cfRule type="containsText" dxfId="1" priority="3" operator="containsText" text="A">
      <formula>NOT(ISERROR(SEARCH("A",R6)))</formula>
    </cfRule>
  </conditionalFormatting>
  <conditionalFormatting sqref="O6:O13">
    <cfRule type="containsText" dxfId="0" priority="1" operator="containsText" text="A">
      <formula>NOT(ISERROR(SEARCH("A",O6)))</formula>
    </cfRule>
  </conditionalFormatting>
  <pageMargins left="0.7" right="0.7" top="0.75" bottom="0.75" header="0.3" footer="0.3"/>
  <pageSetup paperSize="8" scale="24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JAN_VILLA</vt:lpstr>
      <vt:lpstr>FEB_VILLA </vt:lpstr>
      <vt:lpstr>MAR_VILLA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2026-03-07T09:19:11Z</cp:lastPrinted>
  <dcterms:created xsi:type="dcterms:W3CDTF">2026-03-07T07:55:39Z</dcterms:created>
  <dcterms:modified xsi:type="dcterms:W3CDTF">2026-04-08T06:12:44Z</dcterms:modified>
</cp:coreProperties>
</file>