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"/>
    </mc:Choice>
  </mc:AlternateContent>
  <xr:revisionPtr revIDLastSave="0" documentId="13_ncr:1_{744DC4EC-4D2E-4AD3-A087-F13CE0F44550}" xr6:coauthVersionLast="47" xr6:coauthVersionMax="47" xr10:uidLastSave="{00000000-0000-0000-0000-000000000000}"/>
  <bookViews>
    <workbookView xWindow="28680" yWindow="-120" windowWidth="29040" windowHeight="15720" activeTab="2" xr2:uid="{D0CEC982-2901-4364-9F17-4D7601AE1E4C}"/>
  </bookViews>
  <sheets>
    <sheet name="Abu Yusuf" sheetId="1" r:id="rId1"/>
    <sheet name="Sheet1" sheetId="2" r:id="rId2"/>
    <sheet name="Sheet2" sheetId="3" r:id="rId3"/>
  </sheets>
  <definedNames>
    <definedName name="_xlnm._FilterDatabase" localSheetId="0" hidden="1">'Abu Yusuf'!$K$1:$K$63</definedName>
    <definedName name="_xlnm.Print_Area" localSheetId="0">'Abu Yusuf'!$B$1:$AG$14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0" i="3" l="1"/>
  <c r="O50" i="3"/>
  <c r="P50" i="3"/>
  <c r="Q50" i="3"/>
  <c r="R50" i="3"/>
  <c r="M50" i="3"/>
  <c r="K50" i="3"/>
  <c r="L50" i="3"/>
  <c r="J50" i="3"/>
  <c r="AG49" i="3"/>
  <c r="AF49" i="3"/>
  <c r="AG48" i="3"/>
  <c r="AF48" i="3"/>
  <c r="AG47" i="3"/>
  <c r="AF47" i="3"/>
  <c r="AG46" i="3"/>
  <c r="AF46" i="3"/>
  <c r="AG45" i="3"/>
  <c r="AF45" i="3"/>
  <c r="AG44" i="3"/>
  <c r="AF44" i="3"/>
  <c r="AG43" i="3"/>
  <c r="AF43" i="3"/>
  <c r="AG42" i="3"/>
  <c r="AF42" i="3"/>
  <c r="AG41" i="3"/>
  <c r="AF41" i="3"/>
  <c r="AG40" i="3"/>
  <c r="AF40" i="3"/>
  <c r="AG39" i="3"/>
  <c r="AF39" i="3"/>
  <c r="AG38" i="3"/>
  <c r="AF38" i="3"/>
  <c r="AG37" i="3"/>
  <c r="AF37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AG30" i="3"/>
  <c r="AF30" i="3"/>
  <c r="AG29" i="3"/>
  <c r="AF29" i="3"/>
  <c r="AG28" i="3"/>
  <c r="AF28" i="3"/>
  <c r="AG27" i="3"/>
  <c r="AF27" i="3"/>
  <c r="AG26" i="3"/>
  <c r="AF26" i="3"/>
  <c r="AG25" i="3"/>
  <c r="AF25" i="3"/>
  <c r="AG24" i="3"/>
  <c r="AF24" i="3"/>
  <c r="AG23" i="3"/>
  <c r="AF23" i="3"/>
  <c r="AG22" i="3"/>
  <c r="AF22" i="3"/>
  <c r="AG21" i="3"/>
  <c r="AF21" i="3"/>
  <c r="AG20" i="3"/>
  <c r="AF20" i="3"/>
  <c r="AG19" i="3"/>
  <c r="AF19" i="3"/>
  <c r="AG18" i="3"/>
  <c r="AF18" i="3"/>
  <c r="AG17" i="3"/>
  <c r="AF17" i="3"/>
  <c r="AG16" i="3"/>
  <c r="AF16" i="3"/>
  <c r="AG15" i="3"/>
  <c r="AF15" i="3"/>
  <c r="AG14" i="3"/>
  <c r="AF14" i="3"/>
  <c r="AG13" i="3"/>
  <c r="AF13" i="3"/>
  <c r="AG12" i="3"/>
  <c r="AF12" i="3"/>
  <c r="AG11" i="3"/>
  <c r="AF11" i="3"/>
  <c r="AG10" i="3"/>
  <c r="AF10" i="3"/>
  <c r="AG9" i="3"/>
  <c r="AF9" i="3"/>
  <c r="AG8" i="3"/>
  <c r="AF8" i="3"/>
  <c r="AG7" i="3"/>
  <c r="AF7" i="3"/>
  <c r="AG6" i="3"/>
  <c r="AF6" i="3"/>
  <c r="AG5" i="3"/>
  <c r="AF5" i="3"/>
  <c r="AG4" i="3"/>
  <c r="AF4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AG49" i="1"/>
  <c r="AF49" i="1"/>
  <c r="AG48" i="1"/>
  <c r="AF4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" i="1"/>
  <c r="AG28" i="1"/>
  <c r="AG27" i="1"/>
  <c r="AG26" i="1"/>
  <c r="AG25" i="1"/>
  <c r="AG24" i="1"/>
  <c r="AG23" i="1"/>
  <c r="AG22" i="1"/>
  <c r="AG21" i="1"/>
  <c r="AG20" i="1"/>
  <c r="AG19" i="1"/>
  <c r="AG17" i="1"/>
  <c r="AG18" i="1"/>
  <c r="AG12" i="1"/>
  <c r="AG13" i="1"/>
  <c r="AG14" i="1"/>
  <c r="AG15" i="1"/>
  <c r="AG16" i="1"/>
  <c r="AG11" i="1"/>
  <c r="AG9" i="1"/>
  <c r="AG10" i="1"/>
  <c r="AG7" i="1"/>
  <c r="AG8" i="1"/>
  <c r="AG5" i="1"/>
  <c r="AG6" i="1"/>
  <c r="AG4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</calcChain>
</file>

<file path=xl/sharedStrings.xml><?xml version="1.0" encoding="utf-8"?>
<sst xmlns="http://schemas.openxmlformats.org/spreadsheetml/2006/main" count="894" uniqueCount="109">
  <si>
    <t>Days Present</t>
  </si>
  <si>
    <t>Absent</t>
  </si>
  <si>
    <t>Project Manager</t>
  </si>
  <si>
    <t>Name</t>
  </si>
  <si>
    <t>Iqama</t>
  </si>
  <si>
    <t>Amaala Project Attendance Sheet Month of Feb-2026</t>
  </si>
  <si>
    <t>Timekeeper</t>
  </si>
  <si>
    <t>Tarek Ezzat Elsayed</t>
  </si>
  <si>
    <t>Harun Khan</t>
  </si>
  <si>
    <t>Md Mamun</t>
  </si>
  <si>
    <t>Md kamrul Hasan</t>
  </si>
  <si>
    <t>Rasel Shek</t>
  </si>
  <si>
    <t>Md Sohag Mia</t>
  </si>
  <si>
    <t>Md jakir Hossen</t>
  </si>
  <si>
    <t>Raju Ahmad</t>
  </si>
  <si>
    <t>Hasan Tafazal</t>
  </si>
  <si>
    <t>Farhan Sayed</t>
  </si>
  <si>
    <t>Md Julhas uddin</t>
  </si>
  <si>
    <t>Md Rabbi</t>
  </si>
  <si>
    <t>Mohamed Abdelraof</t>
  </si>
  <si>
    <t>Mohammad Abdelfattah Ezzat</t>
  </si>
  <si>
    <t>Mohamed Moustarfa</t>
  </si>
  <si>
    <t xml:space="preserve">Metwali Mohamed </t>
  </si>
  <si>
    <t>Alaa Mohamed</t>
  </si>
  <si>
    <t>Ahamad Ayman</t>
  </si>
  <si>
    <t>Ahmad Mohamed Nagi</t>
  </si>
  <si>
    <t>A04444658</t>
  </si>
  <si>
    <t>Muhammad Hamid Ibrahim</t>
  </si>
  <si>
    <t>A40342495</t>
  </si>
  <si>
    <t>Elsayed Ibrahim Abde gawad</t>
  </si>
  <si>
    <t>Mohamed Abdalla helal</t>
  </si>
  <si>
    <t>Himy Samer Hilmy Zaytoun</t>
  </si>
  <si>
    <t>Saber Sanad Mohamed</t>
  </si>
  <si>
    <t>Rafik Ismai Mtwally</t>
  </si>
  <si>
    <t>Mohamed Ahmed Mohamed Kamel</t>
  </si>
  <si>
    <t>Mahmoud Abdelrahim</t>
  </si>
  <si>
    <t>Ezzat Mansour Ali</t>
  </si>
  <si>
    <t>Ibrahim Mohamed Abdou</t>
  </si>
  <si>
    <t>Ali tolba Ali Dabbour</t>
  </si>
  <si>
    <t>Tariq Abdul hamid</t>
  </si>
  <si>
    <t>Nabil Ibrahim</t>
  </si>
  <si>
    <t>Md Khaled</t>
  </si>
  <si>
    <t>A16728872</t>
  </si>
  <si>
    <t>Nasr Nasr Ahmed Elhag</t>
  </si>
  <si>
    <t>Mahmoud Galal</t>
  </si>
  <si>
    <t>AbdelBagi Azam</t>
  </si>
  <si>
    <t>Mahmoud Maher Ghannam</t>
  </si>
  <si>
    <t>A40444194</t>
  </si>
  <si>
    <t>Ezzat Thabet</t>
  </si>
  <si>
    <t>Ibrahim Abdelnaby Khedr</t>
  </si>
  <si>
    <t>Ossama Ali Ahmed</t>
  </si>
  <si>
    <t xml:space="preserve">Elsayed ramdan </t>
  </si>
  <si>
    <t>Saad Reda</t>
  </si>
  <si>
    <t>Abdul Masum</t>
  </si>
  <si>
    <t>A31601756</t>
  </si>
  <si>
    <t>Mohammad Sayed</t>
  </si>
  <si>
    <t>الاسم</t>
  </si>
  <si>
    <t>الرقم</t>
  </si>
  <si>
    <t>عبد المَعصوم</t>
  </si>
  <si>
    <t>هارون خان</t>
  </si>
  <si>
    <t>محمد مأمون</t>
  </si>
  <si>
    <t>محمد كمال حسن</t>
  </si>
  <si>
    <t>راسل شيخ</t>
  </si>
  <si>
    <t>محمد سهاغ ميا</t>
  </si>
  <si>
    <t>محمد جاكر حسين</t>
  </si>
  <si>
    <t>راجو أحمد</t>
  </si>
  <si>
    <t>حسن تفضّل</t>
  </si>
  <si>
    <t>فرحان سيد</t>
  </si>
  <si>
    <t>محمد جولحاس الدين</t>
  </si>
  <si>
    <t>محمد ربي</t>
  </si>
  <si>
    <t>محمد خالد</t>
  </si>
  <si>
    <t>محمد عبد الرؤوف</t>
  </si>
  <si>
    <t>محمد عبد الفتاح عزت</t>
  </si>
  <si>
    <t>متولي محمد</t>
  </si>
  <si>
    <t>علاء محمد</t>
  </si>
  <si>
    <t>أحمد أيمن</t>
  </si>
  <si>
    <t>أحمد محمد ناجي</t>
  </si>
  <si>
    <t>محمد حميد إبراهيم</t>
  </si>
  <si>
    <t>السيد إبراهيم عبد الجواد</t>
  </si>
  <si>
    <t>طارق عزت السيد</t>
  </si>
  <si>
    <t>محمد عبد الله هلال</t>
  </si>
  <si>
    <t>هيمي سامر حلمي زيتون</t>
  </si>
  <si>
    <t>صابر سند محمد</t>
  </si>
  <si>
    <t>رفيق إسماعيل متولي</t>
  </si>
  <si>
    <t>محمد أحمد محمد كامل</t>
  </si>
  <si>
    <t>محمود عبد الرحيم</t>
  </si>
  <si>
    <t>عزت منصور علي</t>
  </si>
  <si>
    <t>إبراهيم محمد عبده</t>
  </si>
  <si>
    <t>علي طلبة علي دبور</t>
  </si>
  <si>
    <t>طارق عبد الحميد</t>
  </si>
  <si>
    <t>نبيل إبراهيم</t>
  </si>
  <si>
    <t>نصر نصر أحمد الحاج</t>
  </si>
  <si>
    <t>محمود جلال</t>
  </si>
  <si>
    <t>عبد الباقي عزم</t>
  </si>
  <si>
    <t>محمود ماهر غنام</t>
  </si>
  <si>
    <t>عزت ثابت</t>
  </si>
  <si>
    <t>إبراهيم عبد النبي خضر</t>
  </si>
  <si>
    <t>أسامة علي أحمد</t>
  </si>
  <si>
    <t>السيد رمضان</t>
  </si>
  <si>
    <t>سعد رضا</t>
  </si>
  <si>
    <t>محمد سيد</t>
  </si>
  <si>
    <t>محمد مصطفى</t>
  </si>
  <si>
    <t>S.no</t>
  </si>
  <si>
    <t>A</t>
  </si>
  <si>
    <t>P</t>
  </si>
  <si>
    <t>S.No</t>
  </si>
  <si>
    <t>Muhammad Ibrahim abbas</t>
  </si>
  <si>
    <t>Muhammad Shabban</t>
  </si>
  <si>
    <t>Amaala Project Attendance Sheet Month of Feb-2026 ABU 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</si>
</sst>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b/>
      <sz val="14"/>
      <color theme="0"/>
      <name val="Calibri"/>
      <family val="2"/>
    </font>
    <font>
      <b/>
      <sz val="1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Bahnschrift SemiBold"/>
      <family val="2"/>
    </font>
    <font>
      <sz val="12"/>
      <color rgb="FF000000"/>
      <name val="Calibri"/>
      <family val="1"/>
    </font>
    <font>
      <u/>
      <sz val="14"/>
      <color theme="1"/>
      <name val="Arial Black"/>
      <family val="2"/>
    </font>
    <font>
      <u/>
      <sz val="12"/>
      <color theme="1"/>
      <name val="Arial Black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Bahnschrift SemiBold"/>
      <family val="2"/>
    </font>
    <font>
      <u/>
      <sz val="10"/>
      <color theme="1"/>
      <name val="Arial Black"/>
      <family val="2"/>
    </font>
    <font>
      <sz val="18"/>
      <color theme="1"/>
      <name val="]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98">
    <xf numFmtId="0" fontId="0" fillId="0" borderId="0" xfId="0"/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164" fontId="8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top"/>
    </xf>
    <xf numFmtId="0" fontId="0" fillId="0" borderId="0" xfId="0" applyFill="1"/>
    <xf numFmtId="0" fontId="5" fillId="4" borderId="9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10" fillId="6" borderId="7" xfId="0" applyFont="1" applyFill="1" applyBorder="1" applyAlignment="1">
      <alignment horizontal="right"/>
    </xf>
    <xf numFmtId="0" fontId="10" fillId="6" borderId="7" xfId="0" applyFont="1" applyFill="1" applyBorder="1" applyAlignment="1">
      <alignment horizontal="center"/>
    </xf>
    <xf numFmtId="0" fontId="10" fillId="6" borderId="7" xfId="0" applyFont="1" applyFill="1" applyBorder="1"/>
    <xf numFmtId="0" fontId="10" fillId="0" borderId="7" xfId="0" applyFont="1" applyBorder="1" applyAlignment="1">
      <alignment horizontal="right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5" fillId="4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0" fillId="0" borderId="0" xfId="0" applyFill="1" applyAlignment="1">
      <alignment vertical="center"/>
    </xf>
    <xf numFmtId="164" fontId="1" fillId="3" borderId="4" xfId="0" applyNumberFormat="1" applyFont="1" applyFill="1" applyBorder="1" applyAlignment="1">
      <alignment horizontal="center" textRotation="90" wrapText="1"/>
    </xf>
    <xf numFmtId="164" fontId="1" fillId="3" borderId="7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64" fontId="1" fillId="3" borderId="20" xfId="0" applyNumberFormat="1" applyFont="1" applyFill="1" applyBorder="1" applyAlignment="1">
      <alignment horizontal="center" textRotation="90" wrapText="1"/>
    </xf>
    <xf numFmtId="164" fontId="1" fillId="3" borderId="10" xfId="0" applyNumberFormat="1" applyFont="1" applyFill="1" applyBorder="1" applyAlignment="1">
      <alignment horizontal="center" vertical="center"/>
    </xf>
    <xf numFmtId="0" fontId="12" fillId="0" borderId="0" xfId="0" applyFont="1"/>
    <xf numFmtId="164" fontId="15" fillId="3" borderId="4" xfId="0" applyNumberFormat="1" applyFont="1" applyFill="1" applyBorder="1" applyAlignment="1">
      <alignment horizontal="center" textRotation="90" wrapText="1"/>
    </xf>
    <xf numFmtId="164" fontId="15" fillId="3" borderId="20" xfId="0" applyNumberFormat="1" applyFont="1" applyFill="1" applyBorder="1" applyAlignment="1">
      <alignment horizontal="center" textRotation="90" wrapText="1"/>
    </xf>
    <xf numFmtId="164" fontId="15" fillId="3" borderId="7" xfId="0" applyNumberFormat="1" applyFont="1" applyFill="1" applyBorder="1" applyAlignment="1">
      <alignment horizontal="center" vertical="center"/>
    </xf>
    <xf numFmtId="164" fontId="15" fillId="3" borderId="10" xfId="0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3" fillId="4" borderId="1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 vertical="center"/>
    </xf>
    <xf numFmtId="0" fontId="13" fillId="5" borderId="9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2" fillId="0" borderId="0" xfId="0" applyFont="1" applyFill="1"/>
    <xf numFmtId="164" fontId="18" fillId="0" borderId="0" xfId="0" applyNumberFormat="1" applyFont="1"/>
    <xf numFmtId="164" fontId="12" fillId="0" borderId="0" xfId="0" applyNumberFormat="1" applyFont="1"/>
    <xf numFmtId="0" fontId="0" fillId="0" borderId="0" xfId="0" applyFont="1"/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 shrinkToFit="1"/>
    </xf>
    <xf numFmtId="0" fontId="3" fillId="2" borderId="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14" fontId="4" fillId="3" borderId="21" xfId="0" applyNumberFormat="1" applyFont="1" applyFill="1" applyBorder="1" applyAlignment="1">
      <alignment horizontal="center" textRotation="90"/>
    </xf>
    <xf numFmtId="14" fontId="4" fillId="3" borderId="22" xfId="0" applyNumberFormat="1" applyFont="1" applyFill="1" applyBorder="1" applyAlignment="1">
      <alignment horizontal="center" textRotation="90"/>
    </xf>
    <xf numFmtId="0" fontId="4" fillId="3" borderId="5" xfId="0" applyFont="1" applyFill="1" applyBorder="1" applyAlignment="1">
      <alignment horizontal="center" textRotation="90"/>
    </xf>
    <xf numFmtId="0" fontId="4" fillId="3" borderId="19" xfId="0" applyFont="1" applyFill="1" applyBorder="1" applyAlignment="1">
      <alignment horizontal="center" textRotation="90"/>
    </xf>
    <xf numFmtId="0" fontId="5" fillId="7" borderId="15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 shrinkToFit="1"/>
    </xf>
    <xf numFmtId="0" fontId="14" fillId="2" borderId="7" xfId="0" applyFont="1" applyFill="1" applyBorder="1" applyAlignment="1">
      <alignment horizontal="center" vertical="center" wrapText="1" shrinkToFit="1"/>
    </xf>
    <xf numFmtId="0" fontId="14" fillId="2" borderId="3" xfId="0" applyFont="1" applyFill="1" applyBorder="1" applyAlignment="1">
      <alignment horizontal="center" vertical="center" shrinkToFit="1"/>
    </xf>
    <xf numFmtId="0" fontId="14" fillId="2" borderId="6" xfId="0" applyFont="1" applyFill="1" applyBorder="1" applyAlignment="1">
      <alignment horizontal="center" vertical="center" shrinkToFit="1"/>
    </xf>
    <xf numFmtId="14" fontId="16" fillId="3" borderId="21" xfId="0" applyNumberFormat="1" applyFont="1" applyFill="1" applyBorder="1" applyAlignment="1">
      <alignment horizontal="center" textRotation="90"/>
    </xf>
    <xf numFmtId="14" fontId="16" fillId="3" borderId="22" xfId="0" applyNumberFormat="1" applyFont="1" applyFill="1" applyBorder="1" applyAlignment="1">
      <alignment horizontal="center" textRotation="90"/>
    </xf>
    <xf numFmtId="0" fontId="16" fillId="3" borderId="5" xfId="0" applyFont="1" applyFill="1" applyBorder="1" applyAlignment="1">
      <alignment horizontal="center" textRotation="90"/>
    </xf>
    <xf numFmtId="0" fontId="16" fillId="3" borderId="19" xfId="0" applyFont="1" applyFill="1" applyBorder="1" applyAlignment="1">
      <alignment horizontal="center" textRotation="90"/>
    </xf>
  </cellXfs>
  <cellStyles count="2">
    <cellStyle name="Normal" xfId="0" builtinId="0"/>
    <cellStyle name="Normal 2" xfId="1" xr:uid="{8C17E05B-1893-4265-A3EC-590BBA7FBBE5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161926</xdr:colOff>
      <xdr:row>0</xdr:row>
      <xdr:rowOff>43816</xdr:rowOff>
    </xdr:from>
    <xdr:to>
      <xdr:col>31</xdr:col>
      <xdr:colOff>247545</xdr:colOff>
      <xdr:row>0</xdr:row>
      <xdr:rowOff>459105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F6EE6B-9EA4-4576-B86B-870A90199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4046" y="43816"/>
          <a:ext cx="1346835" cy="415289"/>
        </a:xfrm>
        <a:prstGeom prst="rect">
          <a:avLst/>
        </a:prstGeom>
      </xdr:spPr>
    </xdr:pic>
    <xdr:clientData/>
  </xdr:twoCellAnchor>
  <xdr:twoCellAnchor editAs="oneCell">
    <xdr:from>
      <xdr:col>1</xdr:col>
      <xdr:colOff>87630</xdr:colOff>
      <xdr:row>0</xdr:row>
      <xdr:rowOff>64770</xdr:rowOff>
    </xdr:from>
    <xdr:to>
      <xdr:col>1</xdr:col>
      <xdr:colOff>1543050</xdr:colOff>
      <xdr:row>0</xdr:row>
      <xdr:rowOff>453390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CEB53D-768F-4A03-B231-B10FDCA58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" y="64770"/>
          <a:ext cx="145161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83D-5C04-4433-80A5-5636E1538C25}">
  <sheetPr>
    <pageSetUpPr fitToPage="1"/>
  </sheetPr>
  <dimension ref="A1:AP71"/>
  <sheetViews>
    <sheetView zoomScale="72" zoomScaleNormal="69" workbookViewId="0">
      <selection activeCell="AI12" sqref="AI12"/>
    </sheetView>
  </sheetViews>
  <sheetFormatPr defaultRowHeight="14.4"/>
  <cols>
    <col min="1" max="1" width="6" customWidth="1"/>
    <col min="2" max="2" width="40.44140625" bestFit="1" customWidth="1"/>
    <col min="3" max="3" width="14.88671875" bestFit="1" customWidth="1"/>
    <col min="4" max="4" width="8.21875" customWidth="1"/>
    <col min="5" max="5" width="6.6640625" bestFit="1" customWidth="1"/>
    <col min="6" max="6" width="6.21875" bestFit="1" customWidth="1"/>
    <col min="7" max="7" width="7.109375" bestFit="1" customWidth="1"/>
    <col min="8" max="8" width="6.5546875" bestFit="1" customWidth="1"/>
    <col min="9" max="9" width="6" bestFit="1" customWidth="1"/>
    <col min="10" max="10" width="8.21875" bestFit="1" customWidth="1"/>
    <col min="11" max="11" width="6.5546875" style="9" bestFit="1" customWidth="1"/>
    <col min="12" max="12" width="6.6640625" bestFit="1" customWidth="1"/>
    <col min="13" max="13" width="6.21875" customWidth="1"/>
    <col min="14" max="14" width="7.109375" bestFit="1" customWidth="1"/>
    <col min="15" max="15" width="8.21875" bestFit="1" customWidth="1"/>
    <col min="16" max="17" width="6" bestFit="1" customWidth="1"/>
    <col min="18" max="18" width="6.5546875" bestFit="1" customWidth="1"/>
    <col min="19" max="19" width="6.6640625" bestFit="1" customWidth="1"/>
    <col min="20" max="20" width="6.21875" bestFit="1" customWidth="1"/>
    <col min="21" max="21" width="7.109375" bestFit="1" customWidth="1"/>
    <col min="22" max="22" width="6.5546875" bestFit="1" customWidth="1"/>
    <col min="23" max="24" width="6" bestFit="1" customWidth="1"/>
    <col min="25" max="25" width="6.5546875" bestFit="1" customWidth="1"/>
    <col min="26" max="26" width="6.6640625" bestFit="1" customWidth="1"/>
    <col min="27" max="27" width="6.21875" bestFit="1" customWidth="1"/>
    <col min="28" max="28" width="7.109375" bestFit="1" customWidth="1"/>
    <col min="29" max="29" width="6.5546875" bestFit="1" customWidth="1"/>
    <col min="30" max="33" width="6" bestFit="1" customWidth="1"/>
    <col min="35" max="35" width="109.5546875" customWidth="1"/>
  </cols>
  <sheetData>
    <row r="1" spans="1:33" ht="42" customHeight="1" thickBot="1">
      <c r="B1" s="62" t="s">
        <v>5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</row>
    <row r="2" spans="1:33" ht="53.4" customHeight="1">
      <c r="A2" s="59" t="s">
        <v>105</v>
      </c>
      <c r="B2" s="64" t="s">
        <v>3</v>
      </c>
      <c r="C2" s="59" t="s">
        <v>4</v>
      </c>
      <c r="D2" s="22">
        <v>46054</v>
      </c>
      <c r="E2" s="22">
        <v>46055</v>
      </c>
      <c r="F2" s="22">
        <v>46056</v>
      </c>
      <c r="G2" s="22">
        <v>46057</v>
      </c>
      <c r="H2" s="22">
        <v>46058</v>
      </c>
      <c r="I2" s="22">
        <v>46059</v>
      </c>
      <c r="J2" s="22">
        <v>46060</v>
      </c>
      <c r="K2" s="22">
        <v>46061</v>
      </c>
      <c r="L2" s="22">
        <v>46062</v>
      </c>
      <c r="M2" s="22">
        <v>46063</v>
      </c>
      <c r="N2" s="22">
        <v>46064</v>
      </c>
      <c r="O2" s="22">
        <v>46065</v>
      </c>
      <c r="P2" s="22">
        <v>46066</v>
      </c>
      <c r="Q2" s="22">
        <v>46067</v>
      </c>
      <c r="R2" s="22">
        <v>46068</v>
      </c>
      <c r="S2" s="22">
        <v>46069</v>
      </c>
      <c r="T2" s="22">
        <v>46070</v>
      </c>
      <c r="U2" s="22">
        <v>46071</v>
      </c>
      <c r="V2" s="22">
        <v>46072</v>
      </c>
      <c r="W2" s="22">
        <v>46073</v>
      </c>
      <c r="X2" s="22">
        <v>46074</v>
      </c>
      <c r="Y2" s="22">
        <v>46075</v>
      </c>
      <c r="Z2" s="22">
        <v>46076</v>
      </c>
      <c r="AA2" s="22">
        <v>46077</v>
      </c>
      <c r="AB2" s="22">
        <v>46078</v>
      </c>
      <c r="AC2" s="22">
        <v>46079</v>
      </c>
      <c r="AD2" s="22">
        <v>46080</v>
      </c>
      <c r="AE2" s="31">
        <v>46081</v>
      </c>
      <c r="AF2" s="66" t="s">
        <v>0</v>
      </c>
      <c r="AG2" s="68" t="s">
        <v>1</v>
      </c>
    </row>
    <row r="3" spans="1:33" ht="30.6" customHeight="1" thickBot="1">
      <c r="A3" s="60"/>
      <c r="B3" s="65"/>
      <c r="C3" s="60"/>
      <c r="D3" s="23" t="str">
        <f t="shared" ref="D3:AE3" si="0">TEXT(D2,"ddd")</f>
        <v>Sun</v>
      </c>
      <c r="E3" s="23" t="str">
        <f t="shared" si="0"/>
        <v>Mon</v>
      </c>
      <c r="F3" s="23" t="str">
        <f t="shared" si="0"/>
        <v>Tue</v>
      </c>
      <c r="G3" s="23" t="str">
        <f t="shared" si="0"/>
        <v>Wed</v>
      </c>
      <c r="H3" s="23" t="str">
        <f t="shared" si="0"/>
        <v>Thu</v>
      </c>
      <c r="I3" s="23" t="str">
        <f t="shared" si="0"/>
        <v>Fri</v>
      </c>
      <c r="J3" s="23" t="str">
        <f t="shared" si="0"/>
        <v>Sat</v>
      </c>
      <c r="K3" s="23" t="str">
        <f t="shared" si="0"/>
        <v>Sun</v>
      </c>
      <c r="L3" s="23" t="str">
        <f t="shared" si="0"/>
        <v>Mon</v>
      </c>
      <c r="M3" s="23" t="str">
        <f t="shared" si="0"/>
        <v>Tue</v>
      </c>
      <c r="N3" s="23" t="str">
        <f t="shared" si="0"/>
        <v>Wed</v>
      </c>
      <c r="O3" s="23" t="str">
        <f t="shared" si="0"/>
        <v>Thu</v>
      </c>
      <c r="P3" s="23" t="str">
        <f t="shared" si="0"/>
        <v>Fri</v>
      </c>
      <c r="Q3" s="23" t="str">
        <f t="shared" si="0"/>
        <v>Sat</v>
      </c>
      <c r="R3" s="23" t="str">
        <f t="shared" si="0"/>
        <v>Sun</v>
      </c>
      <c r="S3" s="23" t="str">
        <f t="shared" si="0"/>
        <v>Mon</v>
      </c>
      <c r="T3" s="23" t="str">
        <f t="shared" si="0"/>
        <v>Tue</v>
      </c>
      <c r="U3" s="23" t="str">
        <f t="shared" si="0"/>
        <v>Wed</v>
      </c>
      <c r="V3" s="23" t="str">
        <f t="shared" si="0"/>
        <v>Thu</v>
      </c>
      <c r="W3" s="23" t="str">
        <f t="shared" si="0"/>
        <v>Fri</v>
      </c>
      <c r="X3" s="23" t="str">
        <f t="shared" si="0"/>
        <v>Sat</v>
      </c>
      <c r="Y3" s="23" t="str">
        <f t="shared" si="0"/>
        <v>Sun</v>
      </c>
      <c r="Z3" s="23" t="str">
        <f t="shared" si="0"/>
        <v>Mon</v>
      </c>
      <c r="AA3" s="23" t="str">
        <f t="shared" si="0"/>
        <v>Tue</v>
      </c>
      <c r="AB3" s="23" t="str">
        <f t="shared" si="0"/>
        <v>Wed</v>
      </c>
      <c r="AC3" s="23" t="str">
        <f t="shared" si="0"/>
        <v>Thu</v>
      </c>
      <c r="AD3" s="23" t="str">
        <f t="shared" si="0"/>
        <v>Fri</v>
      </c>
      <c r="AE3" s="32" t="str">
        <f t="shared" si="0"/>
        <v>Sat</v>
      </c>
      <c r="AF3" s="67"/>
      <c r="AG3" s="69"/>
    </row>
    <row r="4" spans="1:33" ht="25.2" customHeight="1" thickBot="1">
      <c r="A4" s="20">
        <v>1</v>
      </c>
      <c r="B4" s="18" t="s">
        <v>53</v>
      </c>
      <c r="C4" s="10">
        <v>2609387903</v>
      </c>
      <c r="D4" s="76"/>
      <c r="E4" s="77"/>
      <c r="F4" s="77"/>
      <c r="G4" s="77"/>
      <c r="H4" s="78"/>
      <c r="I4" s="6"/>
      <c r="J4" s="2" t="s">
        <v>104</v>
      </c>
      <c r="K4" s="7" t="s">
        <v>104</v>
      </c>
      <c r="L4" s="7" t="s">
        <v>104</v>
      </c>
      <c r="M4" s="7" t="s">
        <v>104</v>
      </c>
      <c r="N4" s="7" t="s">
        <v>104</v>
      </c>
      <c r="O4" s="7" t="s">
        <v>104</v>
      </c>
      <c r="P4" s="6"/>
      <c r="Q4" s="7" t="s">
        <v>104</v>
      </c>
      <c r="R4" s="7" t="s">
        <v>104</v>
      </c>
      <c r="S4" s="7"/>
      <c r="T4" s="7"/>
      <c r="U4" s="7"/>
      <c r="V4" s="7"/>
      <c r="W4" s="7"/>
      <c r="X4" s="7"/>
      <c r="Y4" s="7"/>
      <c r="Z4" s="7"/>
      <c r="AA4" s="2"/>
      <c r="AB4" s="2"/>
      <c r="AC4" s="2"/>
      <c r="AD4" s="2"/>
      <c r="AE4" s="24"/>
      <c r="AF4" s="25">
        <f>COUNTIF(D4:AE4,"P")</f>
        <v>8</v>
      </c>
      <c r="AG4" s="26">
        <f>COUNTIF(D4:AE4,"A")</f>
        <v>0</v>
      </c>
    </row>
    <row r="5" spans="1:33" ht="25.2" customHeight="1" thickBot="1">
      <c r="A5" s="20">
        <v>2</v>
      </c>
      <c r="B5" s="18" t="s">
        <v>8</v>
      </c>
      <c r="C5" s="10">
        <v>2488912003</v>
      </c>
      <c r="D5" s="70"/>
      <c r="E5" s="71"/>
      <c r="F5" s="71"/>
      <c r="G5" s="71"/>
      <c r="H5" s="72"/>
      <c r="I5" s="6"/>
      <c r="J5" s="2" t="s">
        <v>104</v>
      </c>
      <c r="K5" s="7" t="s">
        <v>104</v>
      </c>
      <c r="L5" s="7" t="s">
        <v>104</v>
      </c>
      <c r="M5" s="7" t="s">
        <v>104</v>
      </c>
      <c r="N5" s="7" t="s">
        <v>104</v>
      </c>
      <c r="O5" s="7" t="s">
        <v>104</v>
      </c>
      <c r="P5" s="6"/>
      <c r="Q5" s="7" t="s">
        <v>104</v>
      </c>
      <c r="R5" s="7" t="s">
        <v>104</v>
      </c>
      <c r="S5" s="7"/>
      <c r="T5" s="7"/>
      <c r="U5" s="7"/>
      <c r="V5" s="7"/>
      <c r="W5" s="7"/>
      <c r="X5" s="7"/>
      <c r="Y5" s="7"/>
      <c r="Z5" s="7"/>
      <c r="AA5" s="2"/>
      <c r="AB5" s="2"/>
      <c r="AC5" s="2"/>
      <c r="AD5" s="2"/>
      <c r="AE5" s="24"/>
      <c r="AF5" s="27">
        <f t="shared" ref="AF5:AF47" si="1">COUNTIF(D5:AE5,"P")</f>
        <v>8</v>
      </c>
      <c r="AG5" s="28">
        <f t="shared" ref="AG5:AG6" si="2">COUNTIF(D5:AE5,"A")</f>
        <v>0</v>
      </c>
    </row>
    <row r="6" spans="1:33" ht="25.2" customHeight="1" thickBot="1">
      <c r="A6" s="20">
        <v>3</v>
      </c>
      <c r="B6" s="18" t="s">
        <v>9</v>
      </c>
      <c r="C6" s="10">
        <v>2577031640</v>
      </c>
      <c r="D6" s="70"/>
      <c r="E6" s="71"/>
      <c r="F6" s="71"/>
      <c r="G6" s="71"/>
      <c r="H6" s="72"/>
      <c r="I6" s="6"/>
      <c r="J6" s="2" t="s">
        <v>104</v>
      </c>
      <c r="K6" s="7" t="s">
        <v>104</v>
      </c>
      <c r="L6" s="7" t="s">
        <v>104</v>
      </c>
      <c r="M6" s="7" t="s">
        <v>104</v>
      </c>
      <c r="N6" s="7" t="s">
        <v>104</v>
      </c>
      <c r="O6" s="7" t="s">
        <v>104</v>
      </c>
      <c r="P6" s="6"/>
      <c r="Q6" s="7" t="s">
        <v>104</v>
      </c>
      <c r="R6" s="7" t="s">
        <v>104</v>
      </c>
      <c r="S6" s="7"/>
      <c r="T6" s="7"/>
      <c r="U6" s="7"/>
      <c r="V6" s="7"/>
      <c r="W6" s="7"/>
      <c r="X6" s="7"/>
      <c r="Y6" s="7"/>
      <c r="Z6" s="7"/>
      <c r="AA6" s="2"/>
      <c r="AB6" s="2"/>
      <c r="AC6" s="2"/>
      <c r="AD6" s="2"/>
      <c r="AE6" s="24"/>
      <c r="AF6" s="27">
        <f t="shared" si="1"/>
        <v>8</v>
      </c>
      <c r="AG6" s="28">
        <f t="shared" si="2"/>
        <v>0</v>
      </c>
    </row>
    <row r="7" spans="1:33" ht="25.2" customHeight="1" thickBot="1">
      <c r="A7" s="20">
        <v>4</v>
      </c>
      <c r="B7" s="18" t="s">
        <v>10</v>
      </c>
      <c r="C7" s="10">
        <v>2576756247</v>
      </c>
      <c r="D7" s="70"/>
      <c r="E7" s="71"/>
      <c r="F7" s="71"/>
      <c r="G7" s="71"/>
      <c r="H7" s="72"/>
      <c r="I7" s="6"/>
      <c r="J7" s="2" t="s">
        <v>104</v>
      </c>
      <c r="K7" s="7" t="s">
        <v>104</v>
      </c>
      <c r="L7" s="7" t="s">
        <v>104</v>
      </c>
      <c r="M7" s="7" t="s">
        <v>104</v>
      </c>
      <c r="N7" s="7" t="s">
        <v>104</v>
      </c>
      <c r="O7" s="7" t="s">
        <v>104</v>
      </c>
      <c r="P7" s="6"/>
      <c r="Q7" s="7" t="s">
        <v>104</v>
      </c>
      <c r="R7" s="7" t="s">
        <v>104</v>
      </c>
      <c r="S7" s="7"/>
      <c r="T7" s="7"/>
      <c r="U7" s="7"/>
      <c r="V7" s="7"/>
      <c r="W7" s="7"/>
      <c r="X7" s="7"/>
      <c r="Y7" s="7"/>
      <c r="Z7" s="7"/>
      <c r="AA7" s="2"/>
      <c r="AB7" s="2"/>
      <c r="AC7" s="2"/>
      <c r="AD7" s="2"/>
      <c r="AE7" s="24"/>
      <c r="AF7" s="27">
        <f t="shared" si="1"/>
        <v>8</v>
      </c>
      <c r="AG7" s="28">
        <f t="shared" ref="AG7:AG10" si="3">COUNTIF(D7:AE7,"A")</f>
        <v>0</v>
      </c>
    </row>
    <row r="8" spans="1:33" ht="25.2" customHeight="1" thickBot="1">
      <c r="A8" s="20">
        <v>5</v>
      </c>
      <c r="B8" s="18" t="s">
        <v>11</v>
      </c>
      <c r="C8" s="10">
        <v>2499338586</v>
      </c>
      <c r="D8" s="70"/>
      <c r="E8" s="71"/>
      <c r="F8" s="71"/>
      <c r="G8" s="71"/>
      <c r="H8" s="72"/>
      <c r="I8" s="6"/>
      <c r="J8" s="2" t="s">
        <v>104</v>
      </c>
      <c r="K8" s="7" t="s">
        <v>104</v>
      </c>
      <c r="L8" s="7" t="s">
        <v>104</v>
      </c>
      <c r="M8" s="7" t="s">
        <v>103</v>
      </c>
      <c r="N8" s="7" t="s">
        <v>104</v>
      </c>
      <c r="O8" s="7" t="s">
        <v>104</v>
      </c>
      <c r="P8" s="6"/>
      <c r="Q8" s="7" t="s">
        <v>104</v>
      </c>
      <c r="R8" s="7" t="s">
        <v>104</v>
      </c>
      <c r="S8" s="7"/>
      <c r="T8" s="7"/>
      <c r="U8" s="7"/>
      <c r="V8" s="7"/>
      <c r="W8" s="7"/>
      <c r="X8" s="7"/>
      <c r="Y8" s="7"/>
      <c r="Z8" s="7"/>
      <c r="AA8" s="2"/>
      <c r="AB8" s="2"/>
      <c r="AC8" s="2"/>
      <c r="AD8" s="2"/>
      <c r="AE8" s="24"/>
      <c r="AF8" s="27">
        <f t="shared" si="1"/>
        <v>7</v>
      </c>
      <c r="AG8" s="28">
        <f t="shared" si="3"/>
        <v>1</v>
      </c>
    </row>
    <row r="9" spans="1:33" ht="25.2" customHeight="1" thickBot="1">
      <c r="A9" s="20">
        <v>6</v>
      </c>
      <c r="B9" s="18" t="s">
        <v>12</v>
      </c>
      <c r="C9" s="10">
        <v>2603708278</v>
      </c>
      <c r="D9" s="70"/>
      <c r="E9" s="71"/>
      <c r="F9" s="71"/>
      <c r="G9" s="71"/>
      <c r="H9" s="72"/>
      <c r="I9" s="6"/>
      <c r="J9" s="2" t="s">
        <v>104</v>
      </c>
      <c r="K9" s="7" t="s">
        <v>103</v>
      </c>
      <c r="L9" s="7" t="s">
        <v>104</v>
      </c>
      <c r="M9" s="7" t="s">
        <v>104</v>
      </c>
      <c r="N9" s="7" t="s">
        <v>104</v>
      </c>
      <c r="O9" s="7" t="s">
        <v>104</v>
      </c>
      <c r="P9" s="6"/>
      <c r="Q9" s="7" t="s">
        <v>104</v>
      </c>
      <c r="R9" s="7" t="s">
        <v>104</v>
      </c>
      <c r="S9" s="7"/>
      <c r="T9" s="7"/>
      <c r="U9" s="7"/>
      <c r="V9" s="7"/>
      <c r="W9" s="7"/>
      <c r="X9" s="7"/>
      <c r="Y9" s="7"/>
      <c r="Z9" s="7"/>
      <c r="AA9" s="2"/>
      <c r="AB9" s="2"/>
      <c r="AC9" s="2"/>
      <c r="AD9" s="2"/>
      <c r="AE9" s="24"/>
      <c r="AF9" s="27">
        <f t="shared" si="1"/>
        <v>7</v>
      </c>
      <c r="AG9" s="28">
        <f t="shared" si="3"/>
        <v>1</v>
      </c>
    </row>
    <row r="10" spans="1:33" ht="25.2" customHeight="1" thickBot="1">
      <c r="A10" s="20">
        <v>7</v>
      </c>
      <c r="B10" s="18" t="s">
        <v>13</v>
      </c>
      <c r="C10" s="10">
        <v>2585296408</v>
      </c>
      <c r="D10" s="70"/>
      <c r="E10" s="71"/>
      <c r="F10" s="71"/>
      <c r="G10" s="71"/>
      <c r="H10" s="72"/>
      <c r="I10" s="6"/>
      <c r="J10" s="2" t="s">
        <v>104</v>
      </c>
      <c r="K10" s="7" t="s">
        <v>104</v>
      </c>
      <c r="L10" s="7" t="s">
        <v>104</v>
      </c>
      <c r="M10" s="7" t="s">
        <v>104</v>
      </c>
      <c r="N10" s="7" t="s">
        <v>104</v>
      </c>
      <c r="O10" s="7" t="s">
        <v>104</v>
      </c>
      <c r="P10" s="6"/>
      <c r="Q10" s="7" t="s">
        <v>104</v>
      </c>
      <c r="R10" s="7" t="s">
        <v>103</v>
      </c>
      <c r="S10" s="7"/>
      <c r="T10" s="7"/>
      <c r="U10" s="7"/>
      <c r="V10" s="7"/>
      <c r="W10" s="7"/>
      <c r="X10" s="7"/>
      <c r="Y10" s="7"/>
      <c r="Z10" s="7"/>
      <c r="AA10" s="2"/>
      <c r="AB10" s="2"/>
      <c r="AC10" s="2"/>
      <c r="AD10" s="2"/>
      <c r="AE10" s="24"/>
      <c r="AF10" s="27">
        <f t="shared" si="1"/>
        <v>7</v>
      </c>
      <c r="AG10" s="28">
        <f t="shared" si="3"/>
        <v>1</v>
      </c>
    </row>
    <row r="11" spans="1:33" ht="25.2" customHeight="1" thickBot="1">
      <c r="A11" s="20">
        <v>8</v>
      </c>
      <c r="B11" s="18" t="s">
        <v>14</v>
      </c>
      <c r="C11" s="10">
        <v>2589555008</v>
      </c>
      <c r="D11" s="70"/>
      <c r="E11" s="71"/>
      <c r="F11" s="71"/>
      <c r="G11" s="71"/>
      <c r="H11" s="72"/>
      <c r="I11" s="6"/>
      <c r="J11" s="2" t="s">
        <v>104</v>
      </c>
      <c r="K11" s="7" t="s">
        <v>104</v>
      </c>
      <c r="L11" s="7" t="s">
        <v>104</v>
      </c>
      <c r="M11" s="7" t="s">
        <v>104</v>
      </c>
      <c r="N11" s="7" t="s">
        <v>104</v>
      </c>
      <c r="O11" s="7" t="s">
        <v>104</v>
      </c>
      <c r="P11" s="6"/>
      <c r="Q11" s="7" t="s">
        <v>104</v>
      </c>
      <c r="R11" s="7" t="s">
        <v>104</v>
      </c>
      <c r="S11" s="7"/>
      <c r="T11" s="7"/>
      <c r="U11" s="7"/>
      <c r="V11" s="7"/>
      <c r="W11" s="7"/>
      <c r="X11" s="7"/>
      <c r="Y11" s="7"/>
      <c r="Z11" s="7"/>
      <c r="AA11" s="2"/>
      <c r="AB11" s="2"/>
      <c r="AC11" s="2"/>
      <c r="AD11" s="2"/>
      <c r="AE11" s="24"/>
      <c r="AF11" s="27">
        <f t="shared" si="1"/>
        <v>8</v>
      </c>
      <c r="AG11" s="28">
        <f t="shared" ref="AG11" si="4">COUNTIF(D11:AE11,"A")</f>
        <v>0</v>
      </c>
    </row>
    <row r="12" spans="1:33" ht="25.2" customHeight="1" thickBot="1">
      <c r="A12" s="20">
        <v>9</v>
      </c>
      <c r="B12" s="18" t="s">
        <v>15</v>
      </c>
      <c r="C12" s="10">
        <v>2450487216</v>
      </c>
      <c r="D12" s="70"/>
      <c r="E12" s="71"/>
      <c r="F12" s="71"/>
      <c r="G12" s="71"/>
      <c r="H12" s="72"/>
      <c r="I12" s="6"/>
      <c r="J12" s="2" t="s">
        <v>104</v>
      </c>
      <c r="K12" s="7" t="s">
        <v>104</v>
      </c>
      <c r="L12" s="7" t="s">
        <v>104</v>
      </c>
      <c r="M12" s="7" t="s">
        <v>104</v>
      </c>
      <c r="N12" s="7" t="s">
        <v>104</v>
      </c>
      <c r="O12" s="7" t="s">
        <v>104</v>
      </c>
      <c r="P12" s="6"/>
      <c r="Q12" s="7" t="s">
        <v>104</v>
      </c>
      <c r="R12" s="7" t="s">
        <v>104</v>
      </c>
      <c r="S12" s="7"/>
      <c r="T12" s="7"/>
      <c r="U12" s="7"/>
      <c r="V12" s="7"/>
      <c r="W12" s="7"/>
      <c r="X12" s="7"/>
      <c r="Y12" s="7"/>
      <c r="Z12" s="7"/>
      <c r="AA12" s="2"/>
      <c r="AB12" s="2"/>
      <c r="AC12" s="2"/>
      <c r="AD12" s="2"/>
      <c r="AE12" s="24"/>
      <c r="AF12" s="27">
        <f t="shared" si="1"/>
        <v>8</v>
      </c>
      <c r="AG12" s="28">
        <f t="shared" ref="AG12:AG16" si="5">COUNTIF(D12:AE12,"A")</f>
        <v>0</v>
      </c>
    </row>
    <row r="13" spans="1:33" ht="25.2" customHeight="1" thickBot="1">
      <c r="A13" s="20">
        <v>10</v>
      </c>
      <c r="B13" s="18" t="s">
        <v>16</v>
      </c>
      <c r="C13" s="10">
        <v>2609622366</v>
      </c>
      <c r="D13" s="70"/>
      <c r="E13" s="71"/>
      <c r="F13" s="71"/>
      <c r="G13" s="71"/>
      <c r="H13" s="72"/>
      <c r="I13" s="6"/>
      <c r="J13" s="2" t="s">
        <v>104</v>
      </c>
      <c r="K13" s="7" t="s">
        <v>104</v>
      </c>
      <c r="L13" s="7" t="s">
        <v>104</v>
      </c>
      <c r="M13" s="7" t="s">
        <v>103</v>
      </c>
      <c r="N13" s="7" t="s">
        <v>104</v>
      </c>
      <c r="O13" s="7" t="s">
        <v>104</v>
      </c>
      <c r="P13" s="6"/>
      <c r="Q13" s="7" t="s">
        <v>104</v>
      </c>
      <c r="R13" s="7" t="s">
        <v>104</v>
      </c>
      <c r="S13" s="7"/>
      <c r="T13" s="7"/>
      <c r="U13" s="7"/>
      <c r="V13" s="7"/>
      <c r="W13" s="7"/>
      <c r="X13" s="7"/>
      <c r="Y13" s="7"/>
      <c r="Z13" s="7"/>
      <c r="AA13" s="2"/>
      <c r="AB13" s="2"/>
      <c r="AC13" s="2"/>
      <c r="AD13" s="2"/>
      <c r="AE13" s="24"/>
      <c r="AF13" s="27">
        <f t="shared" si="1"/>
        <v>7</v>
      </c>
      <c r="AG13" s="28">
        <f t="shared" si="5"/>
        <v>1</v>
      </c>
    </row>
    <row r="14" spans="1:33" ht="25.2" customHeight="1" thickBot="1">
      <c r="A14" s="20">
        <v>11</v>
      </c>
      <c r="B14" s="18" t="s">
        <v>17</v>
      </c>
      <c r="C14" s="10">
        <v>2586161081</v>
      </c>
      <c r="D14" s="70"/>
      <c r="E14" s="71"/>
      <c r="F14" s="71"/>
      <c r="G14" s="71"/>
      <c r="H14" s="72"/>
      <c r="I14" s="6"/>
      <c r="J14" s="2" t="s">
        <v>104</v>
      </c>
      <c r="K14" s="7" t="s">
        <v>104</v>
      </c>
      <c r="L14" s="7" t="s">
        <v>103</v>
      </c>
      <c r="M14" s="7" t="s">
        <v>104</v>
      </c>
      <c r="N14" s="7" t="s">
        <v>104</v>
      </c>
      <c r="O14" s="7" t="s">
        <v>104</v>
      </c>
      <c r="P14" s="6"/>
      <c r="Q14" s="7" t="s">
        <v>104</v>
      </c>
      <c r="R14" s="7" t="s">
        <v>103</v>
      </c>
      <c r="S14" s="7"/>
      <c r="T14" s="7"/>
      <c r="U14" s="7"/>
      <c r="V14" s="7"/>
      <c r="W14" s="7"/>
      <c r="X14" s="7"/>
      <c r="Y14" s="7"/>
      <c r="Z14" s="7"/>
      <c r="AA14" s="2"/>
      <c r="AB14" s="2"/>
      <c r="AC14" s="2"/>
      <c r="AD14" s="2"/>
      <c r="AE14" s="24"/>
      <c r="AF14" s="27">
        <f t="shared" si="1"/>
        <v>6</v>
      </c>
      <c r="AG14" s="28">
        <f t="shared" si="5"/>
        <v>2</v>
      </c>
    </row>
    <row r="15" spans="1:33" ht="25.2" customHeight="1" thickBot="1">
      <c r="A15" s="20">
        <v>12</v>
      </c>
      <c r="B15" s="18" t="s">
        <v>18</v>
      </c>
      <c r="C15" s="10">
        <v>2608784951</v>
      </c>
      <c r="D15" s="70"/>
      <c r="E15" s="71"/>
      <c r="F15" s="71"/>
      <c r="G15" s="71"/>
      <c r="H15" s="72"/>
      <c r="I15" s="6"/>
      <c r="J15" s="2" t="s">
        <v>104</v>
      </c>
      <c r="K15" s="7" t="s">
        <v>104</v>
      </c>
      <c r="L15" s="7" t="s">
        <v>104</v>
      </c>
      <c r="M15" s="7" t="s">
        <v>103</v>
      </c>
      <c r="N15" s="7" t="s">
        <v>104</v>
      </c>
      <c r="O15" s="7" t="s">
        <v>104</v>
      </c>
      <c r="P15" s="6"/>
      <c r="Q15" s="7" t="s">
        <v>104</v>
      </c>
      <c r="R15" s="7" t="s">
        <v>104</v>
      </c>
      <c r="S15" s="7"/>
      <c r="T15" s="7"/>
      <c r="U15" s="7"/>
      <c r="V15" s="7"/>
      <c r="W15" s="7"/>
      <c r="X15" s="7"/>
      <c r="Y15" s="7"/>
      <c r="Z15" s="7"/>
      <c r="AA15" s="2"/>
      <c r="AB15" s="2"/>
      <c r="AC15" s="2"/>
      <c r="AD15" s="2"/>
      <c r="AE15" s="24"/>
      <c r="AF15" s="27">
        <f t="shared" si="1"/>
        <v>7</v>
      </c>
      <c r="AG15" s="28">
        <f t="shared" si="5"/>
        <v>1</v>
      </c>
    </row>
    <row r="16" spans="1:33" ht="25.2" customHeight="1" thickBot="1">
      <c r="A16" s="20">
        <v>13</v>
      </c>
      <c r="B16" s="18" t="s">
        <v>41</v>
      </c>
      <c r="C16" s="10" t="s">
        <v>42</v>
      </c>
      <c r="D16" s="70"/>
      <c r="E16" s="71"/>
      <c r="F16" s="71"/>
      <c r="G16" s="71"/>
      <c r="H16" s="72"/>
      <c r="I16" s="6"/>
      <c r="J16" s="2" t="s">
        <v>104</v>
      </c>
      <c r="K16" s="7" t="s">
        <v>104</v>
      </c>
      <c r="L16" s="7" t="s">
        <v>104</v>
      </c>
      <c r="M16" s="7" t="s">
        <v>104</v>
      </c>
      <c r="N16" s="7" t="s">
        <v>104</v>
      </c>
      <c r="O16" s="7" t="s">
        <v>104</v>
      </c>
      <c r="P16" s="6"/>
      <c r="Q16" s="7" t="s">
        <v>104</v>
      </c>
      <c r="R16" s="7" t="s">
        <v>104</v>
      </c>
      <c r="S16" s="7"/>
      <c r="T16" s="7"/>
      <c r="U16" s="7"/>
      <c r="V16" s="7"/>
      <c r="W16" s="7"/>
      <c r="X16" s="7"/>
      <c r="Y16" s="7"/>
      <c r="Z16" s="7"/>
      <c r="AA16" s="2"/>
      <c r="AB16" s="2"/>
      <c r="AC16" s="2"/>
      <c r="AD16" s="2"/>
      <c r="AE16" s="24"/>
      <c r="AF16" s="27">
        <f t="shared" si="1"/>
        <v>8</v>
      </c>
      <c r="AG16" s="28">
        <f t="shared" si="5"/>
        <v>0</v>
      </c>
    </row>
    <row r="17" spans="1:33" ht="25.2" customHeight="1" thickBot="1">
      <c r="A17" s="20">
        <v>14</v>
      </c>
      <c r="B17" s="19" t="s">
        <v>19</v>
      </c>
      <c r="C17" s="1">
        <v>2604668331</v>
      </c>
      <c r="D17" s="70"/>
      <c r="E17" s="71"/>
      <c r="F17" s="71"/>
      <c r="G17" s="71"/>
      <c r="H17" s="72"/>
      <c r="I17" s="6"/>
      <c r="J17" s="2" t="s">
        <v>103</v>
      </c>
      <c r="K17" s="7" t="s">
        <v>104</v>
      </c>
      <c r="L17" s="7" t="s">
        <v>103</v>
      </c>
      <c r="M17" s="7" t="s">
        <v>104</v>
      </c>
      <c r="N17" s="7" t="s">
        <v>104</v>
      </c>
      <c r="O17" s="7" t="s">
        <v>104</v>
      </c>
      <c r="P17" s="6"/>
      <c r="Q17" s="7" t="s">
        <v>104</v>
      </c>
      <c r="R17" s="7" t="s">
        <v>104</v>
      </c>
      <c r="S17" s="7"/>
      <c r="T17" s="7"/>
      <c r="U17" s="7"/>
      <c r="V17" s="7"/>
      <c r="W17" s="7"/>
      <c r="X17" s="7"/>
      <c r="Y17" s="7"/>
      <c r="Z17" s="7"/>
      <c r="AA17" s="2"/>
      <c r="AB17" s="2"/>
      <c r="AC17" s="2"/>
      <c r="AD17" s="2"/>
      <c r="AE17" s="24"/>
      <c r="AF17" s="27">
        <f t="shared" si="1"/>
        <v>6</v>
      </c>
      <c r="AG17" s="28">
        <f t="shared" ref="AG17:AG47" si="6">COUNTIF(D17:AE17,"A")</f>
        <v>2</v>
      </c>
    </row>
    <row r="18" spans="1:33" ht="25.2" customHeight="1" thickBot="1">
      <c r="A18" s="20">
        <v>15</v>
      </c>
      <c r="B18" s="19" t="s">
        <v>20</v>
      </c>
      <c r="C18" s="1">
        <v>2527533000</v>
      </c>
      <c r="D18" s="70"/>
      <c r="E18" s="71"/>
      <c r="F18" s="71"/>
      <c r="G18" s="71"/>
      <c r="H18" s="72"/>
      <c r="I18" s="6"/>
      <c r="J18" s="2" t="s">
        <v>104</v>
      </c>
      <c r="K18" s="7" t="s">
        <v>104</v>
      </c>
      <c r="L18" s="7" t="s">
        <v>104</v>
      </c>
      <c r="M18" s="7" t="s">
        <v>104</v>
      </c>
      <c r="N18" s="7" t="s">
        <v>104</v>
      </c>
      <c r="O18" s="7" t="s">
        <v>104</v>
      </c>
      <c r="P18" s="6"/>
      <c r="Q18" s="7" t="s">
        <v>104</v>
      </c>
      <c r="R18" s="7" t="s">
        <v>104</v>
      </c>
      <c r="S18" s="7"/>
      <c r="T18" s="7"/>
      <c r="U18" s="7"/>
      <c r="V18" s="7"/>
      <c r="W18" s="7"/>
      <c r="X18" s="7"/>
      <c r="Y18" s="7"/>
      <c r="Z18" s="7"/>
      <c r="AA18" s="2"/>
      <c r="AB18" s="2"/>
      <c r="AC18" s="2"/>
      <c r="AD18" s="2"/>
      <c r="AE18" s="24"/>
      <c r="AF18" s="27">
        <f t="shared" si="1"/>
        <v>8</v>
      </c>
      <c r="AG18" s="28">
        <f t="shared" si="6"/>
        <v>0</v>
      </c>
    </row>
    <row r="19" spans="1:33" ht="25.2" customHeight="1" thickBot="1">
      <c r="A19" s="20">
        <v>16</v>
      </c>
      <c r="B19" s="19" t="s">
        <v>22</v>
      </c>
      <c r="C19" s="1">
        <v>2401757014</v>
      </c>
      <c r="D19" s="70"/>
      <c r="E19" s="71"/>
      <c r="F19" s="71"/>
      <c r="G19" s="71"/>
      <c r="H19" s="72"/>
      <c r="I19" s="6"/>
      <c r="J19" s="2" t="s">
        <v>104</v>
      </c>
      <c r="K19" s="7" t="s">
        <v>104</v>
      </c>
      <c r="L19" s="7" t="s">
        <v>104</v>
      </c>
      <c r="M19" s="7" t="s">
        <v>104</v>
      </c>
      <c r="N19" s="7" t="s">
        <v>104</v>
      </c>
      <c r="O19" s="7" t="s">
        <v>104</v>
      </c>
      <c r="P19" s="6"/>
      <c r="Q19" s="7" t="s">
        <v>104</v>
      </c>
      <c r="R19" s="7" t="s">
        <v>104</v>
      </c>
      <c r="S19" s="7"/>
      <c r="T19" s="7"/>
      <c r="U19" s="7"/>
      <c r="V19" s="7"/>
      <c r="W19" s="7"/>
      <c r="X19" s="7"/>
      <c r="Y19" s="7"/>
      <c r="Z19" s="7"/>
      <c r="AA19" s="2"/>
      <c r="AB19" s="2"/>
      <c r="AC19" s="2"/>
      <c r="AD19" s="2"/>
      <c r="AE19" s="24"/>
      <c r="AF19" s="27">
        <f t="shared" si="1"/>
        <v>8</v>
      </c>
      <c r="AG19" s="28">
        <f t="shared" si="6"/>
        <v>0</v>
      </c>
    </row>
    <row r="20" spans="1:33" ht="25.2" customHeight="1" thickBot="1">
      <c r="A20" s="20">
        <v>17</v>
      </c>
      <c r="B20" s="19" t="s">
        <v>23</v>
      </c>
      <c r="C20" s="1">
        <v>2604722571</v>
      </c>
      <c r="D20" s="70"/>
      <c r="E20" s="71"/>
      <c r="F20" s="71"/>
      <c r="G20" s="71"/>
      <c r="H20" s="72"/>
      <c r="I20" s="6"/>
      <c r="J20" s="2" t="s">
        <v>104</v>
      </c>
      <c r="K20" s="7" t="s">
        <v>104</v>
      </c>
      <c r="L20" s="7" t="s">
        <v>104</v>
      </c>
      <c r="M20" s="7" t="s">
        <v>104</v>
      </c>
      <c r="N20" s="7" t="s">
        <v>104</v>
      </c>
      <c r="O20" s="7" t="s">
        <v>104</v>
      </c>
      <c r="P20" s="6"/>
      <c r="Q20" s="7" t="s">
        <v>104</v>
      </c>
      <c r="R20" s="7" t="s">
        <v>104</v>
      </c>
      <c r="S20" s="7"/>
      <c r="T20" s="7"/>
      <c r="U20" s="7"/>
      <c r="V20" s="7"/>
      <c r="W20" s="7"/>
      <c r="X20" s="7"/>
      <c r="Y20" s="7"/>
      <c r="Z20" s="7"/>
      <c r="AA20" s="2"/>
      <c r="AB20" s="2"/>
      <c r="AC20" s="2"/>
      <c r="AD20" s="2"/>
      <c r="AE20" s="24"/>
      <c r="AF20" s="27">
        <f t="shared" si="1"/>
        <v>8</v>
      </c>
      <c r="AG20" s="28">
        <f t="shared" si="6"/>
        <v>0</v>
      </c>
    </row>
    <row r="21" spans="1:33" ht="25.2" customHeight="1" thickBot="1">
      <c r="A21" s="20">
        <v>18</v>
      </c>
      <c r="B21" s="19" t="s">
        <v>24</v>
      </c>
      <c r="C21" s="1">
        <v>2601792258</v>
      </c>
      <c r="D21" s="70"/>
      <c r="E21" s="71"/>
      <c r="F21" s="71"/>
      <c r="G21" s="71"/>
      <c r="H21" s="72"/>
      <c r="I21" s="6"/>
      <c r="J21" s="2" t="s">
        <v>104</v>
      </c>
      <c r="K21" s="7" t="s">
        <v>104</v>
      </c>
      <c r="L21" s="7" t="s">
        <v>104</v>
      </c>
      <c r="M21" s="7" t="s">
        <v>104</v>
      </c>
      <c r="N21" s="7" t="s">
        <v>104</v>
      </c>
      <c r="O21" s="7" t="s">
        <v>104</v>
      </c>
      <c r="P21" s="6"/>
      <c r="Q21" s="7" t="s">
        <v>104</v>
      </c>
      <c r="R21" s="7" t="s">
        <v>104</v>
      </c>
      <c r="S21" s="7"/>
      <c r="T21" s="7"/>
      <c r="U21" s="7"/>
      <c r="V21" s="7"/>
      <c r="W21" s="7"/>
      <c r="X21" s="7"/>
      <c r="Y21" s="7"/>
      <c r="Z21" s="7"/>
      <c r="AA21" s="2"/>
      <c r="AB21" s="2"/>
      <c r="AC21" s="2"/>
      <c r="AD21" s="2"/>
      <c r="AE21" s="24"/>
      <c r="AF21" s="27">
        <f t="shared" si="1"/>
        <v>8</v>
      </c>
      <c r="AG21" s="28">
        <f t="shared" si="6"/>
        <v>0</v>
      </c>
    </row>
    <row r="22" spans="1:33" ht="25.2" customHeight="1" thickBot="1">
      <c r="A22" s="20">
        <v>19</v>
      </c>
      <c r="B22" s="19" t="s">
        <v>25</v>
      </c>
      <c r="C22" s="1">
        <v>2547679718</v>
      </c>
      <c r="D22" s="70"/>
      <c r="E22" s="71"/>
      <c r="F22" s="71"/>
      <c r="G22" s="71"/>
      <c r="H22" s="72"/>
      <c r="I22" s="6"/>
      <c r="J22" s="2" t="s">
        <v>104</v>
      </c>
      <c r="K22" s="7" t="s">
        <v>104</v>
      </c>
      <c r="L22" s="7" t="s">
        <v>104</v>
      </c>
      <c r="M22" s="7" t="s">
        <v>104</v>
      </c>
      <c r="N22" s="7" t="s">
        <v>104</v>
      </c>
      <c r="O22" s="7" t="s">
        <v>104</v>
      </c>
      <c r="P22" s="6"/>
      <c r="Q22" s="7" t="s">
        <v>104</v>
      </c>
      <c r="R22" s="7" t="s">
        <v>103</v>
      </c>
      <c r="S22" s="7"/>
      <c r="T22" s="7"/>
      <c r="U22" s="7"/>
      <c r="V22" s="7"/>
      <c r="W22" s="7"/>
      <c r="X22" s="7"/>
      <c r="Y22" s="7"/>
      <c r="Z22" s="7"/>
      <c r="AA22" s="2"/>
      <c r="AB22" s="2"/>
      <c r="AC22" s="2"/>
      <c r="AD22" s="2"/>
      <c r="AE22" s="24"/>
      <c r="AF22" s="27">
        <f t="shared" si="1"/>
        <v>7</v>
      </c>
      <c r="AG22" s="28">
        <f t="shared" si="6"/>
        <v>1</v>
      </c>
    </row>
    <row r="23" spans="1:33" ht="25.2" customHeight="1" thickBot="1">
      <c r="A23" s="20">
        <v>20</v>
      </c>
      <c r="B23" s="19" t="s">
        <v>27</v>
      </c>
      <c r="C23" s="1" t="s">
        <v>26</v>
      </c>
      <c r="D23" s="70"/>
      <c r="E23" s="71"/>
      <c r="F23" s="71"/>
      <c r="G23" s="71"/>
      <c r="H23" s="72"/>
      <c r="I23" s="6"/>
      <c r="J23" s="2" t="s">
        <v>104</v>
      </c>
      <c r="K23" s="7" t="s">
        <v>104</v>
      </c>
      <c r="L23" s="7" t="s">
        <v>104</v>
      </c>
      <c r="M23" s="7" t="s">
        <v>104</v>
      </c>
      <c r="N23" s="7" t="s">
        <v>104</v>
      </c>
      <c r="O23" s="7" t="s">
        <v>104</v>
      </c>
      <c r="P23" s="6"/>
      <c r="Q23" s="7" t="s">
        <v>103</v>
      </c>
      <c r="R23" s="7" t="s">
        <v>104</v>
      </c>
      <c r="S23" s="7"/>
      <c r="T23" s="7"/>
      <c r="U23" s="7"/>
      <c r="V23" s="7"/>
      <c r="W23" s="7"/>
      <c r="X23" s="7"/>
      <c r="Y23" s="7"/>
      <c r="Z23" s="7"/>
      <c r="AA23" s="2"/>
      <c r="AB23" s="2"/>
      <c r="AC23" s="2"/>
      <c r="AD23" s="2"/>
      <c r="AE23" s="24"/>
      <c r="AF23" s="27">
        <f t="shared" si="1"/>
        <v>7</v>
      </c>
      <c r="AG23" s="28">
        <f t="shared" si="6"/>
        <v>1</v>
      </c>
    </row>
    <row r="24" spans="1:33" ht="25.2" customHeight="1" thickBot="1">
      <c r="A24" s="20">
        <v>21</v>
      </c>
      <c r="B24" s="19" t="s">
        <v>29</v>
      </c>
      <c r="C24" s="1" t="s">
        <v>28</v>
      </c>
      <c r="D24" s="70"/>
      <c r="E24" s="71"/>
      <c r="F24" s="71"/>
      <c r="G24" s="71"/>
      <c r="H24" s="72"/>
      <c r="I24" s="6"/>
      <c r="J24" s="2" t="s">
        <v>104</v>
      </c>
      <c r="K24" s="7" t="s">
        <v>104</v>
      </c>
      <c r="L24" s="7" t="s">
        <v>104</v>
      </c>
      <c r="M24" s="7" t="s">
        <v>104</v>
      </c>
      <c r="N24" s="7" t="s">
        <v>104</v>
      </c>
      <c r="O24" s="7" t="s">
        <v>104</v>
      </c>
      <c r="P24" s="6"/>
      <c r="Q24" s="7" t="s">
        <v>103</v>
      </c>
      <c r="R24" s="7" t="s">
        <v>104</v>
      </c>
      <c r="S24" s="7"/>
      <c r="T24" s="7"/>
      <c r="U24" s="7"/>
      <c r="V24" s="7"/>
      <c r="W24" s="7"/>
      <c r="X24" s="7"/>
      <c r="Y24" s="7"/>
      <c r="Z24" s="7"/>
      <c r="AA24" s="2"/>
      <c r="AB24" s="2"/>
      <c r="AC24" s="2"/>
      <c r="AD24" s="2"/>
      <c r="AE24" s="24"/>
      <c r="AF24" s="27">
        <f t="shared" si="1"/>
        <v>7</v>
      </c>
      <c r="AG24" s="28">
        <f t="shared" si="6"/>
        <v>1</v>
      </c>
    </row>
    <row r="25" spans="1:33" ht="25.2" customHeight="1" thickBot="1">
      <c r="A25" s="20">
        <v>22</v>
      </c>
      <c r="B25" s="19" t="s">
        <v>7</v>
      </c>
      <c r="C25" s="1">
        <v>2537345585</v>
      </c>
      <c r="D25" s="70"/>
      <c r="E25" s="71"/>
      <c r="F25" s="71"/>
      <c r="G25" s="71"/>
      <c r="H25" s="72"/>
      <c r="I25" s="6"/>
      <c r="J25" s="2" t="s">
        <v>104</v>
      </c>
      <c r="K25" s="7" t="s">
        <v>104</v>
      </c>
      <c r="L25" s="7" t="s">
        <v>104</v>
      </c>
      <c r="M25" s="7" t="s">
        <v>104</v>
      </c>
      <c r="N25" s="7" t="s">
        <v>104</v>
      </c>
      <c r="O25" s="7" t="s">
        <v>103</v>
      </c>
      <c r="P25" s="6"/>
      <c r="Q25" s="7" t="s">
        <v>104</v>
      </c>
      <c r="R25" s="7" t="s">
        <v>104</v>
      </c>
      <c r="S25" s="7"/>
      <c r="T25" s="7"/>
      <c r="U25" s="7"/>
      <c r="V25" s="7"/>
      <c r="W25" s="7"/>
      <c r="X25" s="7"/>
      <c r="Y25" s="7"/>
      <c r="Z25" s="7"/>
      <c r="AA25" s="2"/>
      <c r="AB25" s="2"/>
      <c r="AC25" s="2"/>
      <c r="AD25" s="2"/>
      <c r="AE25" s="24"/>
      <c r="AF25" s="27">
        <f t="shared" si="1"/>
        <v>7</v>
      </c>
      <c r="AG25" s="28">
        <f t="shared" si="6"/>
        <v>1</v>
      </c>
    </row>
    <row r="26" spans="1:33" ht="25.2" customHeight="1" thickBot="1">
      <c r="A26" s="20">
        <v>23</v>
      </c>
      <c r="B26" s="19" t="s">
        <v>30</v>
      </c>
      <c r="C26" s="1">
        <v>2511882058</v>
      </c>
      <c r="D26" s="70"/>
      <c r="E26" s="71"/>
      <c r="F26" s="71"/>
      <c r="G26" s="71"/>
      <c r="H26" s="72"/>
      <c r="I26" s="6"/>
      <c r="J26" s="2" t="s">
        <v>104</v>
      </c>
      <c r="K26" s="7" t="s">
        <v>104</v>
      </c>
      <c r="L26" s="7" t="s">
        <v>103</v>
      </c>
      <c r="M26" s="7" t="s">
        <v>103</v>
      </c>
      <c r="N26" s="7" t="s">
        <v>104</v>
      </c>
      <c r="O26" s="7" t="s">
        <v>104</v>
      </c>
      <c r="P26" s="6"/>
      <c r="Q26" s="7" t="s">
        <v>103</v>
      </c>
      <c r="R26" s="7" t="s">
        <v>103</v>
      </c>
      <c r="S26" s="7"/>
      <c r="T26" s="7"/>
      <c r="U26" s="7"/>
      <c r="V26" s="7"/>
      <c r="W26" s="7"/>
      <c r="X26" s="7"/>
      <c r="Y26" s="7"/>
      <c r="Z26" s="7"/>
      <c r="AA26" s="2"/>
      <c r="AB26" s="2"/>
      <c r="AC26" s="2"/>
      <c r="AD26" s="2"/>
      <c r="AE26" s="24"/>
      <c r="AF26" s="27">
        <f t="shared" si="1"/>
        <v>4</v>
      </c>
      <c r="AG26" s="28">
        <f t="shared" si="6"/>
        <v>4</v>
      </c>
    </row>
    <row r="27" spans="1:33" ht="25.2" customHeight="1" thickBot="1">
      <c r="A27" s="20">
        <v>24</v>
      </c>
      <c r="B27" s="19" t="s">
        <v>31</v>
      </c>
      <c r="C27" s="1">
        <v>2601791920</v>
      </c>
      <c r="D27" s="70"/>
      <c r="E27" s="71"/>
      <c r="F27" s="71"/>
      <c r="G27" s="71"/>
      <c r="H27" s="72"/>
      <c r="I27" s="6"/>
      <c r="J27" s="2" t="s">
        <v>103</v>
      </c>
      <c r="K27" s="7" t="s">
        <v>104</v>
      </c>
      <c r="L27" s="7" t="s">
        <v>104</v>
      </c>
      <c r="M27" s="7" t="s">
        <v>104</v>
      </c>
      <c r="N27" s="7" t="s">
        <v>104</v>
      </c>
      <c r="O27" s="7" t="s">
        <v>104</v>
      </c>
      <c r="P27" s="6"/>
      <c r="Q27" s="7" t="s">
        <v>104</v>
      </c>
      <c r="R27" s="7" t="s">
        <v>104</v>
      </c>
      <c r="S27" s="7"/>
      <c r="T27" s="7"/>
      <c r="U27" s="7"/>
      <c r="V27" s="7"/>
      <c r="W27" s="7"/>
      <c r="X27" s="7"/>
      <c r="Y27" s="7"/>
      <c r="Z27" s="7"/>
      <c r="AA27" s="2"/>
      <c r="AB27" s="2"/>
      <c r="AC27" s="2"/>
      <c r="AD27" s="2"/>
      <c r="AE27" s="24"/>
      <c r="AF27" s="27">
        <f t="shared" si="1"/>
        <v>7</v>
      </c>
      <c r="AG27" s="28">
        <f t="shared" si="6"/>
        <v>1</v>
      </c>
    </row>
    <row r="28" spans="1:33" ht="25.2" customHeight="1" thickBot="1">
      <c r="A28" s="20">
        <v>25</v>
      </c>
      <c r="B28" s="19" t="s">
        <v>32</v>
      </c>
      <c r="C28" s="1">
        <v>2532624547</v>
      </c>
      <c r="D28" s="70"/>
      <c r="E28" s="71"/>
      <c r="F28" s="71"/>
      <c r="G28" s="71"/>
      <c r="H28" s="72"/>
      <c r="I28" s="6"/>
      <c r="J28" s="2" t="s">
        <v>104</v>
      </c>
      <c r="K28" s="7" t="s">
        <v>103</v>
      </c>
      <c r="L28" s="7" t="s">
        <v>104</v>
      </c>
      <c r="M28" s="7" t="s">
        <v>103</v>
      </c>
      <c r="N28" s="7" t="s">
        <v>104</v>
      </c>
      <c r="O28" s="7" t="s">
        <v>104</v>
      </c>
      <c r="P28" s="6"/>
      <c r="Q28" s="7" t="s">
        <v>103</v>
      </c>
      <c r="R28" s="7" t="s">
        <v>103</v>
      </c>
      <c r="S28" s="7"/>
      <c r="T28" s="7"/>
      <c r="U28" s="7"/>
      <c r="V28" s="7"/>
      <c r="W28" s="7"/>
      <c r="X28" s="7"/>
      <c r="Y28" s="7"/>
      <c r="Z28" s="7"/>
      <c r="AA28" s="2"/>
      <c r="AB28" s="2"/>
      <c r="AC28" s="2"/>
      <c r="AD28" s="2"/>
      <c r="AE28" s="24"/>
      <c r="AF28" s="27">
        <f t="shared" si="1"/>
        <v>4</v>
      </c>
      <c r="AG28" s="28">
        <f t="shared" si="6"/>
        <v>4</v>
      </c>
    </row>
    <row r="29" spans="1:33" ht="25.2" customHeight="1" thickBot="1">
      <c r="A29" s="20">
        <v>26</v>
      </c>
      <c r="B29" s="19" t="s">
        <v>33</v>
      </c>
      <c r="C29" s="1">
        <v>2604668026</v>
      </c>
      <c r="D29" s="70"/>
      <c r="E29" s="71"/>
      <c r="F29" s="71"/>
      <c r="G29" s="71"/>
      <c r="H29" s="72"/>
      <c r="I29" s="6"/>
      <c r="J29" s="2" t="s">
        <v>103</v>
      </c>
      <c r="K29" s="7" t="s">
        <v>104</v>
      </c>
      <c r="L29" s="7" t="s">
        <v>103</v>
      </c>
      <c r="M29" s="7" t="s">
        <v>104</v>
      </c>
      <c r="N29" s="7" t="s">
        <v>104</v>
      </c>
      <c r="O29" s="7" t="s">
        <v>104</v>
      </c>
      <c r="P29" s="6"/>
      <c r="Q29" s="7" t="s">
        <v>104</v>
      </c>
      <c r="R29" s="7" t="s">
        <v>104</v>
      </c>
      <c r="S29" s="7"/>
      <c r="T29" s="7"/>
      <c r="U29" s="7"/>
      <c r="V29" s="7"/>
      <c r="W29" s="7"/>
      <c r="X29" s="7"/>
      <c r="Y29" s="7"/>
      <c r="Z29" s="7"/>
      <c r="AA29" s="2"/>
      <c r="AB29" s="2"/>
      <c r="AC29" s="2"/>
      <c r="AD29" s="2"/>
      <c r="AE29" s="24"/>
      <c r="AF29" s="27">
        <f t="shared" si="1"/>
        <v>6</v>
      </c>
      <c r="AG29" s="28">
        <f t="shared" si="6"/>
        <v>2</v>
      </c>
    </row>
    <row r="30" spans="1:33" ht="25.2" customHeight="1" thickBot="1">
      <c r="A30" s="20">
        <v>27</v>
      </c>
      <c r="B30" s="19" t="s">
        <v>34</v>
      </c>
      <c r="C30" s="1">
        <v>2387693936</v>
      </c>
      <c r="D30" s="70"/>
      <c r="E30" s="71"/>
      <c r="F30" s="71"/>
      <c r="G30" s="71"/>
      <c r="H30" s="72"/>
      <c r="I30" s="6"/>
      <c r="J30" s="2" t="s">
        <v>103</v>
      </c>
      <c r="K30" s="7" t="s">
        <v>104</v>
      </c>
      <c r="L30" s="7" t="s">
        <v>104</v>
      </c>
      <c r="M30" s="7" t="s">
        <v>104</v>
      </c>
      <c r="N30" s="7" t="s">
        <v>104</v>
      </c>
      <c r="O30" s="7" t="s">
        <v>104</v>
      </c>
      <c r="P30" s="6"/>
      <c r="Q30" s="7" t="s">
        <v>104</v>
      </c>
      <c r="R30" s="7" t="s">
        <v>104</v>
      </c>
      <c r="S30" s="7"/>
      <c r="T30" s="7"/>
      <c r="U30" s="7"/>
      <c r="V30" s="7"/>
      <c r="W30" s="7"/>
      <c r="X30" s="7"/>
      <c r="Y30" s="7"/>
      <c r="Z30" s="7"/>
      <c r="AA30" s="2"/>
      <c r="AB30" s="2"/>
      <c r="AC30" s="2"/>
      <c r="AD30" s="2"/>
      <c r="AE30" s="24"/>
      <c r="AF30" s="27">
        <f t="shared" si="1"/>
        <v>7</v>
      </c>
      <c r="AG30" s="28">
        <f t="shared" si="6"/>
        <v>1</v>
      </c>
    </row>
    <row r="31" spans="1:33" ht="25.2" customHeight="1" thickBot="1">
      <c r="A31" s="20">
        <v>28</v>
      </c>
      <c r="B31" s="19" t="s">
        <v>35</v>
      </c>
      <c r="C31" s="1">
        <v>2473306716</v>
      </c>
      <c r="D31" s="70"/>
      <c r="E31" s="71"/>
      <c r="F31" s="71"/>
      <c r="G31" s="71"/>
      <c r="H31" s="72"/>
      <c r="I31" s="6"/>
      <c r="J31" s="2" t="s">
        <v>104</v>
      </c>
      <c r="K31" s="7" t="s">
        <v>104</v>
      </c>
      <c r="L31" s="7" t="s">
        <v>104</v>
      </c>
      <c r="M31" s="7" t="s">
        <v>104</v>
      </c>
      <c r="N31" s="7" t="s">
        <v>104</v>
      </c>
      <c r="O31" s="7" t="s">
        <v>104</v>
      </c>
      <c r="P31" s="6"/>
      <c r="Q31" s="7" t="s">
        <v>104</v>
      </c>
      <c r="R31" s="7" t="s">
        <v>104</v>
      </c>
      <c r="S31" s="7"/>
      <c r="T31" s="7"/>
      <c r="U31" s="7"/>
      <c r="V31" s="7"/>
      <c r="W31" s="7"/>
      <c r="X31" s="7"/>
      <c r="Y31" s="7"/>
      <c r="Z31" s="7"/>
      <c r="AA31" s="2"/>
      <c r="AB31" s="2"/>
      <c r="AC31" s="2"/>
      <c r="AD31" s="2"/>
      <c r="AE31" s="24"/>
      <c r="AF31" s="27">
        <f t="shared" si="1"/>
        <v>8</v>
      </c>
      <c r="AG31" s="28">
        <f t="shared" si="6"/>
        <v>0</v>
      </c>
    </row>
    <row r="32" spans="1:33" ht="25.2" customHeight="1" thickBot="1">
      <c r="A32" s="20">
        <v>29</v>
      </c>
      <c r="B32" s="19" t="s">
        <v>36</v>
      </c>
      <c r="C32" s="1">
        <v>2574113771</v>
      </c>
      <c r="D32" s="70"/>
      <c r="E32" s="71"/>
      <c r="F32" s="71"/>
      <c r="G32" s="71"/>
      <c r="H32" s="72"/>
      <c r="I32" s="6"/>
      <c r="J32" s="2" t="s">
        <v>104</v>
      </c>
      <c r="K32" s="7" t="s">
        <v>104</v>
      </c>
      <c r="L32" s="7" t="s">
        <v>104</v>
      </c>
      <c r="M32" s="7" t="s">
        <v>104</v>
      </c>
      <c r="N32" s="7" t="s">
        <v>104</v>
      </c>
      <c r="O32" s="7" t="s">
        <v>104</v>
      </c>
      <c r="P32" s="6"/>
      <c r="Q32" s="7" t="s">
        <v>104</v>
      </c>
      <c r="R32" s="7" t="s">
        <v>104</v>
      </c>
      <c r="S32" s="7"/>
      <c r="T32" s="7"/>
      <c r="U32" s="7"/>
      <c r="V32" s="7"/>
      <c r="W32" s="7"/>
      <c r="X32" s="7"/>
      <c r="Y32" s="7"/>
      <c r="Z32" s="7"/>
      <c r="AA32" s="2"/>
      <c r="AB32" s="2"/>
      <c r="AC32" s="2"/>
      <c r="AD32" s="2"/>
      <c r="AE32" s="24"/>
      <c r="AF32" s="27">
        <f t="shared" si="1"/>
        <v>8</v>
      </c>
      <c r="AG32" s="28">
        <f t="shared" si="6"/>
        <v>0</v>
      </c>
    </row>
    <row r="33" spans="1:33" ht="25.2" customHeight="1" thickBot="1">
      <c r="A33" s="20">
        <v>30</v>
      </c>
      <c r="B33" s="19" t="s">
        <v>37</v>
      </c>
      <c r="C33" s="1">
        <v>2627468917</v>
      </c>
      <c r="D33" s="70"/>
      <c r="E33" s="71"/>
      <c r="F33" s="71"/>
      <c r="G33" s="71"/>
      <c r="H33" s="72"/>
      <c r="I33" s="6"/>
      <c r="J33" s="2" t="s">
        <v>104</v>
      </c>
      <c r="K33" s="7" t="s">
        <v>104</v>
      </c>
      <c r="L33" s="7" t="s">
        <v>104</v>
      </c>
      <c r="M33" s="7" t="s">
        <v>104</v>
      </c>
      <c r="N33" s="7" t="s">
        <v>104</v>
      </c>
      <c r="O33" s="7" t="s">
        <v>104</v>
      </c>
      <c r="P33" s="6"/>
      <c r="Q33" s="7" t="s">
        <v>104</v>
      </c>
      <c r="R33" s="7" t="s">
        <v>104</v>
      </c>
      <c r="S33" s="7"/>
      <c r="T33" s="7"/>
      <c r="U33" s="7"/>
      <c r="V33" s="7"/>
      <c r="W33" s="7"/>
      <c r="X33" s="7"/>
      <c r="Y33" s="7"/>
      <c r="Z33" s="7"/>
      <c r="AA33" s="2"/>
      <c r="AB33" s="2"/>
      <c r="AC33" s="2"/>
      <c r="AD33" s="2"/>
      <c r="AE33" s="24"/>
      <c r="AF33" s="27">
        <f t="shared" si="1"/>
        <v>8</v>
      </c>
      <c r="AG33" s="28">
        <f t="shared" si="6"/>
        <v>0</v>
      </c>
    </row>
    <row r="34" spans="1:33" ht="25.2" customHeight="1" thickBot="1">
      <c r="A34" s="20">
        <v>31</v>
      </c>
      <c r="B34" s="19" t="s">
        <v>38</v>
      </c>
      <c r="C34" s="1">
        <v>2436321257</v>
      </c>
      <c r="D34" s="70"/>
      <c r="E34" s="71"/>
      <c r="F34" s="71"/>
      <c r="G34" s="71"/>
      <c r="H34" s="72"/>
      <c r="I34" s="6"/>
      <c r="J34" s="2" t="s">
        <v>104</v>
      </c>
      <c r="K34" s="7" t="s">
        <v>104</v>
      </c>
      <c r="L34" s="7" t="s">
        <v>104</v>
      </c>
      <c r="M34" s="7" t="s">
        <v>104</v>
      </c>
      <c r="N34" s="7" t="s">
        <v>104</v>
      </c>
      <c r="O34" s="7" t="s">
        <v>104</v>
      </c>
      <c r="P34" s="6"/>
      <c r="Q34" s="7" t="s">
        <v>104</v>
      </c>
      <c r="R34" s="7" t="s">
        <v>104</v>
      </c>
      <c r="S34" s="7"/>
      <c r="T34" s="7"/>
      <c r="U34" s="7"/>
      <c r="V34" s="7"/>
      <c r="W34" s="7"/>
      <c r="X34" s="7"/>
      <c r="Y34" s="7"/>
      <c r="Z34" s="7"/>
      <c r="AA34" s="2"/>
      <c r="AB34" s="2"/>
      <c r="AC34" s="2"/>
      <c r="AD34" s="2"/>
      <c r="AE34" s="24"/>
      <c r="AF34" s="27">
        <f t="shared" si="1"/>
        <v>8</v>
      </c>
      <c r="AG34" s="28">
        <f t="shared" si="6"/>
        <v>0</v>
      </c>
    </row>
    <row r="35" spans="1:33" ht="25.2" customHeight="1" thickBot="1">
      <c r="A35" s="20">
        <v>32</v>
      </c>
      <c r="B35" s="19" t="s">
        <v>39</v>
      </c>
      <c r="C35" s="1">
        <v>2198168771</v>
      </c>
      <c r="D35" s="70"/>
      <c r="E35" s="71"/>
      <c r="F35" s="71"/>
      <c r="G35" s="71"/>
      <c r="H35" s="72"/>
      <c r="I35" s="6"/>
      <c r="J35" s="2" t="s">
        <v>103</v>
      </c>
      <c r="K35" s="7" t="s">
        <v>104</v>
      </c>
      <c r="L35" s="7" t="s">
        <v>104</v>
      </c>
      <c r="M35" s="7" t="s">
        <v>104</v>
      </c>
      <c r="N35" s="7" t="s">
        <v>104</v>
      </c>
      <c r="O35" s="7" t="s">
        <v>104</v>
      </c>
      <c r="P35" s="6"/>
      <c r="Q35" s="7" t="s">
        <v>104</v>
      </c>
      <c r="R35" s="7" t="s">
        <v>103</v>
      </c>
      <c r="S35" s="7"/>
      <c r="T35" s="7"/>
      <c r="U35" s="7"/>
      <c r="V35" s="7"/>
      <c r="W35" s="7"/>
      <c r="X35" s="7"/>
      <c r="Y35" s="7"/>
      <c r="Z35" s="7"/>
      <c r="AA35" s="2"/>
      <c r="AB35" s="2"/>
      <c r="AC35" s="2"/>
      <c r="AD35" s="2"/>
      <c r="AE35" s="24"/>
      <c r="AF35" s="27">
        <f t="shared" si="1"/>
        <v>6</v>
      </c>
      <c r="AG35" s="28">
        <f t="shared" si="6"/>
        <v>2</v>
      </c>
    </row>
    <row r="36" spans="1:33" ht="25.2" customHeight="1" thickBot="1">
      <c r="A36" s="20">
        <v>33</v>
      </c>
      <c r="B36" s="19" t="s">
        <v>40</v>
      </c>
      <c r="C36" s="1">
        <v>2477938647</v>
      </c>
      <c r="D36" s="70"/>
      <c r="E36" s="71"/>
      <c r="F36" s="71"/>
      <c r="G36" s="71"/>
      <c r="H36" s="72"/>
      <c r="I36" s="6"/>
      <c r="J36" s="2" t="s">
        <v>104</v>
      </c>
      <c r="K36" s="7" t="s">
        <v>104</v>
      </c>
      <c r="L36" s="7" t="s">
        <v>104</v>
      </c>
      <c r="M36" s="7" t="s">
        <v>104</v>
      </c>
      <c r="N36" s="7" t="s">
        <v>104</v>
      </c>
      <c r="O36" s="7" t="s">
        <v>104</v>
      </c>
      <c r="P36" s="6"/>
      <c r="Q36" s="7" t="s">
        <v>104</v>
      </c>
      <c r="R36" s="7" t="s">
        <v>104</v>
      </c>
      <c r="S36" s="7"/>
      <c r="T36" s="7"/>
      <c r="U36" s="7"/>
      <c r="V36" s="7"/>
      <c r="W36" s="7"/>
      <c r="X36" s="7"/>
      <c r="Y36" s="7"/>
      <c r="Z36" s="7"/>
      <c r="AA36" s="2"/>
      <c r="AB36" s="2"/>
      <c r="AC36" s="2"/>
      <c r="AD36" s="2"/>
      <c r="AE36" s="24"/>
      <c r="AF36" s="27">
        <f t="shared" si="1"/>
        <v>8</v>
      </c>
      <c r="AG36" s="28">
        <f t="shared" si="6"/>
        <v>0</v>
      </c>
    </row>
    <row r="37" spans="1:33" ht="25.2" customHeight="1" thickBot="1">
      <c r="A37" s="20">
        <v>34</v>
      </c>
      <c r="B37" s="19" t="s">
        <v>43</v>
      </c>
      <c r="C37" s="1">
        <v>2413157971</v>
      </c>
      <c r="D37" s="70"/>
      <c r="E37" s="71"/>
      <c r="F37" s="71"/>
      <c r="G37" s="71"/>
      <c r="H37" s="72"/>
      <c r="I37" s="6"/>
      <c r="J37" s="2" t="s">
        <v>103</v>
      </c>
      <c r="K37" s="7" t="s">
        <v>104</v>
      </c>
      <c r="L37" s="7" t="s">
        <v>103</v>
      </c>
      <c r="M37" s="7" t="s">
        <v>104</v>
      </c>
      <c r="N37" s="7" t="s">
        <v>104</v>
      </c>
      <c r="O37" s="7" t="s">
        <v>104</v>
      </c>
      <c r="P37" s="6"/>
      <c r="Q37" s="7" t="s">
        <v>104</v>
      </c>
      <c r="R37" s="7" t="s">
        <v>103</v>
      </c>
      <c r="S37" s="7"/>
      <c r="T37" s="7"/>
      <c r="U37" s="7"/>
      <c r="V37" s="7"/>
      <c r="W37" s="7"/>
      <c r="X37" s="7"/>
      <c r="Y37" s="7"/>
      <c r="Z37" s="7"/>
      <c r="AA37" s="2"/>
      <c r="AB37" s="2"/>
      <c r="AC37" s="2"/>
      <c r="AD37" s="2"/>
      <c r="AE37" s="24"/>
      <c r="AF37" s="27">
        <f t="shared" si="1"/>
        <v>5</v>
      </c>
      <c r="AG37" s="28">
        <f t="shared" si="6"/>
        <v>3</v>
      </c>
    </row>
    <row r="38" spans="1:33" ht="25.2" customHeight="1" thickBot="1">
      <c r="A38" s="20">
        <v>35</v>
      </c>
      <c r="B38" s="19" t="s">
        <v>44</v>
      </c>
      <c r="C38" s="1">
        <v>2558398422</v>
      </c>
      <c r="D38" s="70"/>
      <c r="E38" s="71"/>
      <c r="F38" s="71"/>
      <c r="G38" s="71"/>
      <c r="H38" s="72"/>
      <c r="I38" s="6"/>
      <c r="J38" s="2" t="s">
        <v>104</v>
      </c>
      <c r="K38" s="7" t="s">
        <v>103</v>
      </c>
      <c r="L38" s="7" t="s">
        <v>104</v>
      </c>
      <c r="M38" s="7" t="s">
        <v>104</v>
      </c>
      <c r="N38" s="7" t="s">
        <v>104</v>
      </c>
      <c r="O38" s="7" t="s">
        <v>104</v>
      </c>
      <c r="P38" s="6"/>
      <c r="Q38" s="7" t="s">
        <v>104</v>
      </c>
      <c r="R38" s="7" t="s">
        <v>103</v>
      </c>
      <c r="S38" s="7"/>
      <c r="T38" s="7"/>
      <c r="U38" s="7"/>
      <c r="V38" s="7"/>
      <c r="W38" s="7"/>
      <c r="X38" s="7"/>
      <c r="Y38" s="7"/>
      <c r="Z38" s="7"/>
      <c r="AA38" s="2"/>
      <c r="AB38" s="2"/>
      <c r="AC38" s="2"/>
      <c r="AD38" s="2"/>
      <c r="AE38" s="24"/>
      <c r="AF38" s="27">
        <f t="shared" si="1"/>
        <v>6</v>
      </c>
      <c r="AG38" s="28">
        <f t="shared" si="6"/>
        <v>2</v>
      </c>
    </row>
    <row r="39" spans="1:33" ht="25.2" customHeight="1" thickBot="1">
      <c r="A39" s="20">
        <v>36</v>
      </c>
      <c r="B39" s="19" t="s">
        <v>45</v>
      </c>
      <c r="C39" s="1">
        <v>2494588201</v>
      </c>
      <c r="D39" s="70"/>
      <c r="E39" s="71"/>
      <c r="F39" s="71"/>
      <c r="G39" s="71"/>
      <c r="H39" s="72"/>
      <c r="I39" s="6"/>
      <c r="J39" s="2" t="s">
        <v>104</v>
      </c>
      <c r="K39" s="7" t="s">
        <v>104</v>
      </c>
      <c r="L39" s="7" t="s">
        <v>104</v>
      </c>
      <c r="M39" s="7" t="s">
        <v>103</v>
      </c>
      <c r="N39" s="7" t="s">
        <v>103</v>
      </c>
      <c r="O39" s="7" t="s">
        <v>104</v>
      </c>
      <c r="P39" s="6"/>
      <c r="Q39" s="7" t="s">
        <v>104</v>
      </c>
      <c r="R39" s="7" t="s">
        <v>104</v>
      </c>
      <c r="S39" s="7"/>
      <c r="T39" s="7"/>
      <c r="U39" s="7"/>
      <c r="V39" s="7"/>
      <c r="W39" s="7"/>
      <c r="X39" s="7"/>
      <c r="Y39" s="7"/>
      <c r="Z39" s="7"/>
      <c r="AA39" s="2"/>
      <c r="AB39" s="2"/>
      <c r="AC39" s="2"/>
      <c r="AD39" s="2"/>
      <c r="AE39" s="24"/>
      <c r="AF39" s="27">
        <f t="shared" si="1"/>
        <v>6</v>
      </c>
      <c r="AG39" s="28">
        <f t="shared" si="6"/>
        <v>2</v>
      </c>
    </row>
    <row r="40" spans="1:33" ht="25.2" customHeight="1" thickBot="1">
      <c r="A40" s="20">
        <v>37</v>
      </c>
      <c r="B40" s="19" t="s">
        <v>46</v>
      </c>
      <c r="C40" s="1" t="s">
        <v>47</v>
      </c>
      <c r="D40" s="70"/>
      <c r="E40" s="71"/>
      <c r="F40" s="71"/>
      <c r="G40" s="71"/>
      <c r="H40" s="72"/>
      <c r="I40" s="6"/>
      <c r="J40" s="2" t="s">
        <v>104</v>
      </c>
      <c r="K40" s="7" t="s">
        <v>103</v>
      </c>
      <c r="L40" s="7" t="s">
        <v>104</v>
      </c>
      <c r="M40" s="7" t="s">
        <v>104</v>
      </c>
      <c r="N40" s="7" t="s">
        <v>104</v>
      </c>
      <c r="O40" s="7" t="s">
        <v>104</v>
      </c>
      <c r="P40" s="6"/>
      <c r="Q40" s="7" t="s">
        <v>104</v>
      </c>
      <c r="R40" s="7" t="s">
        <v>104</v>
      </c>
      <c r="S40" s="7"/>
      <c r="T40" s="7"/>
      <c r="U40" s="7"/>
      <c r="V40" s="7"/>
      <c r="W40" s="7"/>
      <c r="X40" s="7"/>
      <c r="Y40" s="7"/>
      <c r="Z40" s="7"/>
      <c r="AA40" s="2"/>
      <c r="AB40" s="2"/>
      <c r="AC40" s="2"/>
      <c r="AD40" s="2"/>
      <c r="AE40" s="24"/>
      <c r="AF40" s="27">
        <f t="shared" si="1"/>
        <v>7</v>
      </c>
      <c r="AG40" s="28">
        <f t="shared" si="6"/>
        <v>1</v>
      </c>
    </row>
    <row r="41" spans="1:33" ht="25.2" customHeight="1" thickBot="1">
      <c r="A41" s="20">
        <v>38</v>
      </c>
      <c r="B41" s="19" t="s">
        <v>48</v>
      </c>
      <c r="C41" s="1">
        <v>2531452734</v>
      </c>
      <c r="D41" s="70"/>
      <c r="E41" s="71"/>
      <c r="F41" s="71"/>
      <c r="G41" s="71"/>
      <c r="H41" s="72"/>
      <c r="I41" s="6"/>
      <c r="J41" s="2" t="s">
        <v>104</v>
      </c>
      <c r="K41" s="7" t="s">
        <v>104</v>
      </c>
      <c r="L41" s="7" t="s">
        <v>104</v>
      </c>
      <c r="M41" s="7" t="s">
        <v>104</v>
      </c>
      <c r="N41" s="7" t="s">
        <v>104</v>
      </c>
      <c r="O41" s="7" t="s">
        <v>104</v>
      </c>
      <c r="P41" s="6"/>
      <c r="Q41" s="7" t="s">
        <v>104</v>
      </c>
      <c r="R41" s="7" t="s">
        <v>104</v>
      </c>
      <c r="S41" s="7"/>
      <c r="T41" s="7"/>
      <c r="U41" s="7"/>
      <c r="V41" s="7"/>
      <c r="W41" s="7"/>
      <c r="X41" s="7"/>
      <c r="Y41" s="7"/>
      <c r="Z41" s="7"/>
      <c r="AA41" s="2"/>
      <c r="AB41" s="2"/>
      <c r="AC41" s="2"/>
      <c r="AD41" s="2"/>
      <c r="AE41" s="24"/>
      <c r="AF41" s="27">
        <f t="shared" si="1"/>
        <v>8</v>
      </c>
      <c r="AG41" s="28">
        <f t="shared" si="6"/>
        <v>0</v>
      </c>
    </row>
    <row r="42" spans="1:33" ht="25.2" customHeight="1" thickBot="1">
      <c r="A42" s="20">
        <v>39</v>
      </c>
      <c r="B42" s="19" t="s">
        <v>49</v>
      </c>
      <c r="C42" s="1">
        <v>2494626852</v>
      </c>
      <c r="D42" s="70"/>
      <c r="E42" s="71"/>
      <c r="F42" s="71"/>
      <c r="G42" s="71"/>
      <c r="H42" s="72"/>
      <c r="I42" s="6"/>
      <c r="J42" s="2" t="s">
        <v>104</v>
      </c>
      <c r="K42" s="7" t="s">
        <v>103</v>
      </c>
      <c r="L42" s="7" t="s">
        <v>103</v>
      </c>
      <c r="M42" s="7" t="s">
        <v>104</v>
      </c>
      <c r="N42" s="7" t="s">
        <v>104</v>
      </c>
      <c r="O42" s="7" t="s">
        <v>104</v>
      </c>
      <c r="P42" s="6"/>
      <c r="Q42" s="7" t="s">
        <v>104</v>
      </c>
      <c r="R42" s="7" t="s">
        <v>104</v>
      </c>
      <c r="S42" s="7"/>
      <c r="T42" s="7"/>
      <c r="U42" s="7"/>
      <c r="V42" s="7"/>
      <c r="W42" s="7"/>
      <c r="X42" s="7"/>
      <c r="Y42" s="7"/>
      <c r="Z42" s="7"/>
      <c r="AA42" s="2"/>
      <c r="AB42" s="2"/>
      <c r="AC42" s="2"/>
      <c r="AD42" s="2"/>
      <c r="AE42" s="24"/>
      <c r="AF42" s="27">
        <f t="shared" si="1"/>
        <v>6</v>
      </c>
      <c r="AG42" s="28">
        <f t="shared" si="6"/>
        <v>2</v>
      </c>
    </row>
    <row r="43" spans="1:33" ht="25.2" customHeight="1" thickBot="1">
      <c r="A43" s="20">
        <v>40</v>
      </c>
      <c r="B43" s="19" t="s">
        <v>50</v>
      </c>
      <c r="C43" s="1">
        <v>2476765793</v>
      </c>
      <c r="D43" s="70"/>
      <c r="E43" s="71"/>
      <c r="F43" s="71"/>
      <c r="G43" s="71"/>
      <c r="H43" s="72"/>
      <c r="I43" s="6"/>
      <c r="J43" s="2" t="s">
        <v>104</v>
      </c>
      <c r="K43" s="7" t="s">
        <v>104</v>
      </c>
      <c r="L43" s="7" t="s">
        <v>104</v>
      </c>
      <c r="M43" s="7" t="s">
        <v>103</v>
      </c>
      <c r="N43" s="7" t="s">
        <v>104</v>
      </c>
      <c r="O43" s="7" t="s">
        <v>104</v>
      </c>
      <c r="P43" s="6"/>
      <c r="Q43" s="7" t="s">
        <v>104</v>
      </c>
      <c r="R43" s="7" t="s">
        <v>104</v>
      </c>
      <c r="S43" s="7"/>
      <c r="T43" s="7"/>
      <c r="U43" s="7"/>
      <c r="V43" s="7"/>
      <c r="W43" s="7"/>
      <c r="X43" s="7"/>
      <c r="Y43" s="7"/>
      <c r="Z43" s="7"/>
      <c r="AA43" s="2"/>
      <c r="AB43" s="2"/>
      <c r="AC43" s="2"/>
      <c r="AD43" s="2"/>
      <c r="AE43" s="24"/>
      <c r="AF43" s="27">
        <f t="shared" si="1"/>
        <v>7</v>
      </c>
      <c r="AG43" s="28">
        <f t="shared" si="6"/>
        <v>1</v>
      </c>
    </row>
    <row r="44" spans="1:33" ht="25.2" customHeight="1" thickBot="1">
      <c r="A44" s="20">
        <v>41</v>
      </c>
      <c r="B44" s="19" t="s">
        <v>51</v>
      </c>
      <c r="C44" s="1">
        <v>2625602244</v>
      </c>
      <c r="D44" s="70"/>
      <c r="E44" s="71"/>
      <c r="F44" s="71"/>
      <c r="G44" s="71"/>
      <c r="H44" s="72"/>
      <c r="I44" s="6"/>
      <c r="J44" s="2" t="s">
        <v>104</v>
      </c>
      <c r="K44" s="7" t="s">
        <v>104</v>
      </c>
      <c r="L44" s="7" t="s">
        <v>104</v>
      </c>
      <c r="M44" s="7" t="s">
        <v>104</v>
      </c>
      <c r="N44" s="7" t="s">
        <v>104</v>
      </c>
      <c r="O44" s="7" t="s">
        <v>104</v>
      </c>
      <c r="P44" s="6"/>
      <c r="Q44" s="7" t="s">
        <v>103</v>
      </c>
      <c r="R44" s="7" t="s">
        <v>103</v>
      </c>
      <c r="S44" s="7"/>
      <c r="T44" s="7"/>
      <c r="U44" s="7"/>
      <c r="V44" s="7"/>
      <c r="W44" s="7"/>
      <c r="X44" s="7"/>
      <c r="Y44" s="7"/>
      <c r="Z44" s="7"/>
      <c r="AA44" s="2"/>
      <c r="AB44" s="2"/>
      <c r="AC44" s="2"/>
      <c r="AD44" s="2"/>
      <c r="AE44" s="24"/>
      <c r="AF44" s="27">
        <f t="shared" si="1"/>
        <v>6</v>
      </c>
      <c r="AG44" s="28">
        <f t="shared" si="6"/>
        <v>2</v>
      </c>
    </row>
    <row r="45" spans="1:33" ht="25.2" customHeight="1" thickBot="1">
      <c r="A45" s="20">
        <v>42</v>
      </c>
      <c r="B45" s="19" t="s">
        <v>52</v>
      </c>
      <c r="C45" s="1">
        <v>2616103483</v>
      </c>
      <c r="D45" s="70"/>
      <c r="E45" s="71"/>
      <c r="F45" s="71"/>
      <c r="G45" s="71"/>
      <c r="H45" s="72"/>
      <c r="I45" s="6"/>
      <c r="J45" s="2" t="s">
        <v>103</v>
      </c>
      <c r="K45" s="7" t="s">
        <v>104</v>
      </c>
      <c r="L45" s="7" t="s">
        <v>104</v>
      </c>
      <c r="M45" s="7" t="s">
        <v>104</v>
      </c>
      <c r="N45" s="7" t="s">
        <v>104</v>
      </c>
      <c r="O45" s="7" t="s">
        <v>104</v>
      </c>
      <c r="P45" s="6"/>
      <c r="Q45" s="7" t="s">
        <v>104</v>
      </c>
      <c r="R45" s="7" t="s">
        <v>104</v>
      </c>
      <c r="S45" s="7"/>
      <c r="T45" s="7"/>
      <c r="U45" s="7"/>
      <c r="V45" s="7"/>
      <c r="W45" s="7"/>
      <c r="X45" s="7"/>
      <c r="Y45" s="7"/>
      <c r="Z45" s="7"/>
      <c r="AA45" s="2"/>
      <c r="AB45" s="2"/>
      <c r="AC45" s="2"/>
      <c r="AD45" s="2"/>
      <c r="AE45" s="24"/>
      <c r="AF45" s="27">
        <f t="shared" si="1"/>
        <v>7</v>
      </c>
      <c r="AG45" s="28">
        <f t="shared" si="6"/>
        <v>1</v>
      </c>
    </row>
    <row r="46" spans="1:33" ht="25.2" customHeight="1" thickBot="1">
      <c r="A46" s="20">
        <v>43</v>
      </c>
      <c r="B46" s="19" t="s">
        <v>55</v>
      </c>
      <c r="C46" s="1" t="s">
        <v>54</v>
      </c>
      <c r="D46" s="70"/>
      <c r="E46" s="71"/>
      <c r="F46" s="71"/>
      <c r="G46" s="71"/>
      <c r="H46" s="72"/>
      <c r="I46" s="6"/>
      <c r="J46" s="2" t="s">
        <v>103</v>
      </c>
      <c r="K46" s="7" t="s">
        <v>104</v>
      </c>
      <c r="L46" s="7" t="s">
        <v>104</v>
      </c>
      <c r="M46" s="7" t="s">
        <v>104</v>
      </c>
      <c r="N46" s="7" t="s">
        <v>104</v>
      </c>
      <c r="O46" s="7" t="s">
        <v>104</v>
      </c>
      <c r="P46" s="6"/>
      <c r="Q46" s="7" t="s">
        <v>104</v>
      </c>
      <c r="R46" s="7" t="s">
        <v>104</v>
      </c>
      <c r="S46" s="7"/>
      <c r="T46" s="7"/>
      <c r="U46" s="7"/>
      <c r="V46" s="7"/>
      <c r="W46" s="7"/>
      <c r="X46" s="7"/>
      <c r="Y46" s="7"/>
      <c r="Z46" s="7"/>
      <c r="AA46" s="2"/>
      <c r="AB46" s="2"/>
      <c r="AC46" s="2"/>
      <c r="AD46" s="2"/>
      <c r="AE46" s="24"/>
      <c r="AF46" s="27">
        <f t="shared" si="1"/>
        <v>7</v>
      </c>
      <c r="AG46" s="28">
        <f t="shared" si="6"/>
        <v>1</v>
      </c>
    </row>
    <row r="47" spans="1:33" ht="25.2" customHeight="1" thickBot="1">
      <c r="A47" s="20">
        <v>44</v>
      </c>
      <c r="B47" s="19" t="s">
        <v>21</v>
      </c>
      <c r="C47" s="1">
        <v>2537676427</v>
      </c>
      <c r="D47" s="70"/>
      <c r="E47" s="71"/>
      <c r="F47" s="71"/>
      <c r="G47" s="71"/>
      <c r="H47" s="72"/>
      <c r="I47" s="6"/>
      <c r="J47" s="2" t="s">
        <v>104</v>
      </c>
      <c r="K47" s="7" t="s">
        <v>104</v>
      </c>
      <c r="L47" s="7" t="s">
        <v>103</v>
      </c>
      <c r="M47" s="7" t="s">
        <v>104</v>
      </c>
      <c r="N47" s="7" t="s">
        <v>104</v>
      </c>
      <c r="O47" s="7" t="s">
        <v>104</v>
      </c>
      <c r="P47" s="6"/>
      <c r="Q47" s="7" t="s">
        <v>104</v>
      </c>
      <c r="R47" s="7" t="s">
        <v>103</v>
      </c>
      <c r="S47" s="7"/>
      <c r="T47" s="7"/>
      <c r="U47" s="7"/>
      <c r="V47" s="7"/>
      <c r="W47" s="7"/>
      <c r="X47" s="7"/>
      <c r="Y47" s="7"/>
      <c r="Z47" s="7"/>
      <c r="AA47" s="2"/>
      <c r="AB47" s="2"/>
      <c r="AC47" s="2"/>
      <c r="AD47" s="2"/>
      <c r="AE47" s="24"/>
      <c r="AF47" s="29">
        <f t="shared" si="1"/>
        <v>6</v>
      </c>
      <c r="AG47" s="30">
        <f t="shared" si="6"/>
        <v>2</v>
      </c>
    </row>
    <row r="48" spans="1:33" ht="25.2" customHeight="1" thickBot="1">
      <c r="A48" s="20">
        <v>45</v>
      </c>
      <c r="B48" s="19" t="s">
        <v>106</v>
      </c>
      <c r="C48" s="1">
        <v>2465500615</v>
      </c>
      <c r="D48" s="70"/>
      <c r="E48" s="71"/>
      <c r="F48" s="71"/>
      <c r="G48" s="71"/>
      <c r="H48" s="71"/>
      <c r="I48" s="71"/>
      <c r="J48" s="71"/>
      <c r="K48" s="71"/>
      <c r="L48" s="72"/>
      <c r="M48" s="7" t="s">
        <v>104</v>
      </c>
      <c r="N48" s="7" t="s">
        <v>104</v>
      </c>
      <c r="O48" s="7" t="s">
        <v>104</v>
      </c>
      <c r="P48" s="6"/>
      <c r="Q48" s="7" t="s">
        <v>104</v>
      </c>
      <c r="R48" s="7" t="s">
        <v>103</v>
      </c>
      <c r="S48" s="7"/>
      <c r="T48" s="7"/>
      <c r="U48" s="7"/>
      <c r="V48" s="7"/>
      <c r="W48" s="7"/>
      <c r="X48" s="7"/>
      <c r="Y48" s="7"/>
      <c r="Z48" s="7"/>
      <c r="AA48" s="2"/>
      <c r="AB48" s="2"/>
      <c r="AC48" s="2"/>
      <c r="AD48" s="2"/>
      <c r="AE48" s="24"/>
      <c r="AF48" s="29">
        <f t="shared" ref="AF48" si="7">COUNTIF(D48:AE48,"P")</f>
        <v>4</v>
      </c>
      <c r="AG48" s="30">
        <f t="shared" ref="AG48" si="8">COUNTIF(D48:AE48,"A")</f>
        <v>1</v>
      </c>
    </row>
    <row r="49" spans="1:42" ht="25.2" customHeight="1" thickBot="1">
      <c r="A49" s="20">
        <v>46</v>
      </c>
      <c r="B49" s="19" t="s">
        <v>107</v>
      </c>
      <c r="C49" s="1">
        <v>2441349350</v>
      </c>
      <c r="D49" s="73"/>
      <c r="E49" s="74"/>
      <c r="F49" s="74"/>
      <c r="G49" s="74"/>
      <c r="H49" s="74"/>
      <c r="I49" s="74"/>
      <c r="J49" s="74"/>
      <c r="K49" s="74"/>
      <c r="L49" s="75"/>
      <c r="M49" s="7" t="s">
        <v>104</v>
      </c>
      <c r="N49" s="7" t="s">
        <v>104</v>
      </c>
      <c r="O49" s="7" t="s">
        <v>104</v>
      </c>
      <c r="P49" s="6"/>
      <c r="Q49" s="7" t="s">
        <v>104</v>
      </c>
      <c r="R49" s="7" t="s">
        <v>103</v>
      </c>
      <c r="S49" s="7"/>
      <c r="T49" s="7"/>
      <c r="U49" s="7"/>
      <c r="V49" s="7"/>
      <c r="W49" s="7"/>
      <c r="X49" s="7"/>
      <c r="Y49" s="7"/>
      <c r="Z49" s="7"/>
      <c r="AA49" s="2"/>
      <c r="AB49" s="2"/>
      <c r="AC49" s="2"/>
      <c r="AD49" s="2"/>
      <c r="AE49" s="24"/>
      <c r="AF49" s="29">
        <f t="shared" ref="AF49" si="9">COUNTIF(D49:AE49,"P")</f>
        <v>4</v>
      </c>
      <c r="AG49" s="30">
        <f t="shared" ref="AG49" si="10">COUNTIF(D49:AE49,"A")</f>
        <v>1</v>
      </c>
    </row>
    <row r="50" spans="1:42" ht="25.2" customHeight="1">
      <c r="D50" s="61" t="s">
        <v>6</v>
      </c>
      <c r="E50" s="61"/>
      <c r="F50" s="61"/>
      <c r="G50" s="61"/>
      <c r="H50" s="61"/>
      <c r="I50" s="61"/>
      <c r="J50" s="8"/>
      <c r="K50" s="21"/>
      <c r="U50" s="61" t="s">
        <v>2</v>
      </c>
      <c r="V50" s="61"/>
      <c r="W50" s="61"/>
      <c r="X50" s="61"/>
      <c r="Y50" s="61"/>
      <c r="Z50" s="61"/>
      <c r="AA50" s="8"/>
      <c r="AB50" s="8"/>
      <c r="AC50" s="8"/>
      <c r="AD50" s="8"/>
      <c r="AE50" s="8"/>
      <c r="AF50" s="8"/>
    </row>
    <row r="51" spans="1:42" ht="25.2" customHeight="1">
      <c r="D51" s="61"/>
      <c r="E51" s="61"/>
      <c r="F51" s="61"/>
      <c r="G51" s="61"/>
      <c r="H51" s="61"/>
      <c r="I51" s="61"/>
      <c r="U51" s="61"/>
      <c r="V51" s="61"/>
      <c r="W51" s="61"/>
      <c r="X51" s="61"/>
      <c r="Y51" s="61"/>
      <c r="Z51" s="61"/>
      <c r="AH51" s="3"/>
      <c r="AI51" s="3"/>
    </row>
    <row r="52" spans="1:42" ht="25.2" customHeight="1">
      <c r="D52" s="61"/>
      <c r="E52" s="61"/>
      <c r="F52" s="61"/>
      <c r="G52" s="61"/>
      <c r="H52" s="61"/>
      <c r="I52" s="61"/>
      <c r="U52" s="61"/>
      <c r="V52" s="61"/>
      <c r="W52" s="61"/>
      <c r="X52" s="61"/>
      <c r="Y52" s="61"/>
      <c r="Z52" s="61"/>
      <c r="AH52" s="3"/>
      <c r="AI52" s="3"/>
    </row>
    <row r="53" spans="1:42" ht="25.2" customHeight="1">
      <c r="D53" s="61"/>
      <c r="E53" s="61"/>
      <c r="F53" s="61"/>
      <c r="G53" s="61"/>
      <c r="H53" s="61"/>
      <c r="I53" s="61"/>
      <c r="U53" s="61"/>
      <c r="V53" s="61"/>
      <c r="W53" s="61"/>
      <c r="X53" s="61"/>
      <c r="Y53" s="61"/>
      <c r="Z53" s="61"/>
      <c r="AH53" s="3"/>
      <c r="AI53" s="3"/>
    </row>
    <row r="54" spans="1:42" ht="25.2" customHeight="1">
      <c r="D54" s="61"/>
      <c r="E54" s="61"/>
      <c r="F54" s="61"/>
      <c r="G54" s="61"/>
      <c r="H54" s="61"/>
      <c r="I54" s="61"/>
      <c r="U54" s="61"/>
      <c r="V54" s="61"/>
      <c r="W54" s="61"/>
      <c r="X54" s="61"/>
      <c r="Y54" s="61"/>
      <c r="Z54" s="61"/>
      <c r="AH54" s="3"/>
      <c r="AI54" s="3"/>
    </row>
    <row r="55" spans="1:42" ht="25.2" customHeight="1">
      <c r="D55" s="61"/>
      <c r="E55" s="61"/>
      <c r="F55" s="61"/>
      <c r="G55" s="61"/>
      <c r="H55" s="61"/>
      <c r="I55" s="61"/>
      <c r="AH55" s="3"/>
      <c r="AI55" s="3"/>
    </row>
    <row r="56" spans="1:42" ht="19.2" customHeight="1">
      <c r="AH56" s="5"/>
      <c r="AI56" s="5"/>
    </row>
    <row r="57" spans="1:42" ht="19.2" customHeight="1"/>
    <row r="58" spans="1:42" ht="19.2" customHeight="1"/>
    <row r="59" spans="1:42" ht="14.4" customHeight="1">
      <c r="AJ59" s="3"/>
      <c r="AK59" s="5"/>
      <c r="AL59" s="5"/>
      <c r="AM59" s="5"/>
      <c r="AN59" s="5"/>
      <c r="AO59" s="5"/>
      <c r="AP59" s="5"/>
    </row>
    <row r="60" spans="1:42" ht="14.4" customHeight="1">
      <c r="AJ60" s="3"/>
      <c r="AK60" s="5"/>
      <c r="AL60" s="5"/>
      <c r="AM60" s="5"/>
      <c r="AN60" s="5"/>
      <c r="AO60" s="5"/>
      <c r="AP60" s="5"/>
    </row>
    <row r="61" spans="1:42" ht="14.4" customHeight="1">
      <c r="AJ61" s="3"/>
      <c r="AK61" s="5"/>
      <c r="AL61" s="5"/>
      <c r="AM61" s="5"/>
      <c r="AN61" s="5"/>
      <c r="AO61" s="5"/>
      <c r="AP61" s="5"/>
    </row>
    <row r="62" spans="1:42" ht="14.4" customHeight="1">
      <c r="AJ62" s="3"/>
      <c r="AK62" s="5"/>
      <c r="AL62" s="5"/>
      <c r="AM62" s="5"/>
      <c r="AN62" s="5"/>
      <c r="AO62" s="5"/>
      <c r="AP62" s="5"/>
    </row>
    <row r="63" spans="1:42" ht="14.4" customHeight="1">
      <c r="AJ63" s="3"/>
      <c r="AK63" s="5"/>
      <c r="AL63" s="5"/>
      <c r="AM63" s="5"/>
      <c r="AN63" s="5"/>
      <c r="AO63" s="5"/>
      <c r="AP63" s="5"/>
    </row>
    <row r="64" spans="1:42" ht="19.2" customHeight="1">
      <c r="AJ64" s="5"/>
    </row>
    <row r="65" ht="19.2" customHeight="1"/>
    <row r="66" ht="19.2" customHeight="1"/>
    <row r="67" ht="19.2" customHeight="1"/>
    <row r="68" ht="19.2" customHeight="1"/>
    <row r="69" ht="19.2" customHeight="1"/>
    <row r="70" ht="19.2" customHeight="1"/>
    <row r="71" ht="19.2" customHeight="1"/>
  </sheetData>
  <mergeCells count="10">
    <mergeCell ref="A2:A3"/>
    <mergeCell ref="D50:I55"/>
    <mergeCell ref="U50:Z54"/>
    <mergeCell ref="B1:AG1"/>
    <mergeCell ref="B2:B3"/>
    <mergeCell ref="C2:C3"/>
    <mergeCell ref="AF2:AF3"/>
    <mergeCell ref="AG2:AG3"/>
    <mergeCell ref="D48:L49"/>
    <mergeCell ref="D4:H47"/>
  </mergeCells>
  <conditionalFormatting sqref="B4:B10">
    <cfRule type="duplicateValues" dxfId="29" priority="14"/>
  </conditionalFormatting>
  <conditionalFormatting sqref="C1:C47 C50:C1048576">
    <cfRule type="duplicateValues" dxfId="28" priority="12"/>
  </conditionalFormatting>
  <conditionalFormatting sqref="A2:A3">
    <cfRule type="duplicateValues" dxfId="27" priority="11"/>
  </conditionalFormatting>
  <conditionalFormatting sqref="K4:K47">
    <cfRule type="containsText" dxfId="26" priority="10" operator="containsText" text="A">
      <formula>NOT(ISERROR(SEARCH("A",K4)))</formula>
    </cfRule>
  </conditionalFormatting>
  <conditionalFormatting sqref="D4 P48:P49 I4:AF47">
    <cfRule type="containsText" dxfId="25" priority="9" operator="containsText" text="A">
      <formula>NOT(ISERROR(SEARCH("A",D4)))</formula>
    </cfRule>
  </conditionalFormatting>
  <conditionalFormatting sqref="C48">
    <cfRule type="duplicateValues" dxfId="24" priority="7"/>
  </conditionalFormatting>
  <conditionalFormatting sqref="B48">
    <cfRule type="duplicateValues" dxfId="23" priority="8"/>
  </conditionalFormatting>
  <conditionalFormatting sqref="M48:O48 Q48:AF48">
    <cfRule type="containsText" dxfId="22" priority="5" operator="containsText" text="A">
      <formula>NOT(ISERROR(SEARCH("A",M48)))</formula>
    </cfRule>
  </conditionalFormatting>
  <conditionalFormatting sqref="C49">
    <cfRule type="duplicateValues" dxfId="21" priority="3"/>
  </conditionalFormatting>
  <conditionalFormatting sqref="B49">
    <cfRule type="duplicateValues" dxfId="20" priority="4"/>
  </conditionalFormatting>
  <conditionalFormatting sqref="M49:O49 Q49:AF49">
    <cfRule type="containsText" dxfId="19" priority="1" operator="containsText" text="A">
      <formula>NOT(ISERROR(SEARCH("A",M49)))</formula>
    </cfRule>
  </conditionalFormatting>
  <conditionalFormatting sqref="B50:B1048576 B1:B3">
    <cfRule type="duplicateValues" dxfId="18" priority="33"/>
  </conditionalFormatting>
  <conditionalFormatting sqref="B11:B47">
    <cfRule type="duplicateValues" dxfId="17" priority="39"/>
  </conditionalFormatting>
  <pageMargins left="0.26033333333333297" right="0.26624999999999999" top="1.1655833333333301" bottom="0.75" header="0.3" footer="0.3"/>
  <pageSetup scale="5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6546-16A0-4AB8-A402-B65C3D7D38CA}">
  <sheetPr>
    <pageSetUpPr fitToPage="1"/>
  </sheetPr>
  <dimension ref="B9:E55"/>
  <sheetViews>
    <sheetView topLeftCell="A40" workbookViewId="0">
      <selection activeCell="K53" sqref="K53"/>
    </sheetView>
  </sheetViews>
  <sheetFormatPr defaultRowHeight="14.4"/>
  <cols>
    <col min="3" max="3" width="41.5546875" style="11" bestFit="1" customWidth="1"/>
    <col min="4" max="4" width="42.77734375" style="4" customWidth="1"/>
  </cols>
  <sheetData>
    <row r="9" spans="3:5" ht="23.4">
      <c r="C9" s="12" t="s">
        <v>56</v>
      </c>
      <c r="D9" s="13" t="s">
        <v>57</v>
      </c>
      <c r="E9" s="14" t="s">
        <v>102</v>
      </c>
    </row>
    <row r="10" spans="3:5" ht="23.4">
      <c r="C10" s="15" t="s">
        <v>58</v>
      </c>
      <c r="D10" s="16">
        <v>2609387903</v>
      </c>
      <c r="E10" s="17">
        <v>1</v>
      </c>
    </row>
    <row r="11" spans="3:5" ht="23.4">
      <c r="C11" s="15" t="s">
        <v>59</v>
      </c>
      <c r="D11" s="16">
        <v>2488912003</v>
      </c>
      <c r="E11" s="17">
        <v>2</v>
      </c>
    </row>
    <row r="12" spans="3:5" ht="23.4">
      <c r="C12" s="15" t="s">
        <v>60</v>
      </c>
      <c r="D12" s="16">
        <v>2577031640</v>
      </c>
      <c r="E12" s="17">
        <v>3</v>
      </c>
    </row>
    <row r="13" spans="3:5" ht="23.4">
      <c r="C13" s="15" t="s">
        <v>61</v>
      </c>
      <c r="D13" s="16">
        <v>2576756247</v>
      </c>
      <c r="E13" s="17">
        <v>4</v>
      </c>
    </row>
    <row r="14" spans="3:5" ht="23.4">
      <c r="C14" s="15" t="s">
        <v>62</v>
      </c>
      <c r="D14" s="16">
        <v>2499338586</v>
      </c>
      <c r="E14" s="17">
        <v>5</v>
      </c>
    </row>
    <row r="15" spans="3:5" ht="23.4">
      <c r="C15" s="15" t="s">
        <v>63</v>
      </c>
      <c r="D15" s="16">
        <v>2603708278</v>
      </c>
      <c r="E15" s="17">
        <v>6</v>
      </c>
    </row>
    <row r="16" spans="3:5" ht="23.4">
      <c r="C16" s="15" t="s">
        <v>64</v>
      </c>
      <c r="D16" s="16">
        <v>2585296408</v>
      </c>
      <c r="E16" s="17">
        <v>7</v>
      </c>
    </row>
    <row r="17" spans="3:5" ht="23.4">
      <c r="C17" s="15" t="s">
        <v>65</v>
      </c>
      <c r="D17" s="16">
        <v>2589555008</v>
      </c>
      <c r="E17" s="17">
        <v>8</v>
      </c>
    </row>
    <row r="18" spans="3:5" ht="23.4">
      <c r="C18" s="15" t="s">
        <v>66</v>
      </c>
      <c r="D18" s="16">
        <v>2450487216</v>
      </c>
      <c r="E18" s="17">
        <v>9</v>
      </c>
    </row>
    <row r="19" spans="3:5" ht="23.4">
      <c r="C19" s="15" t="s">
        <v>67</v>
      </c>
      <c r="D19" s="16">
        <v>2609622366</v>
      </c>
      <c r="E19" s="17">
        <v>10</v>
      </c>
    </row>
    <row r="20" spans="3:5" ht="23.4">
      <c r="C20" s="15" t="s">
        <v>68</v>
      </c>
      <c r="D20" s="16">
        <v>2586161081</v>
      </c>
      <c r="E20" s="17">
        <v>11</v>
      </c>
    </row>
    <row r="21" spans="3:5" ht="23.4">
      <c r="C21" s="15" t="s">
        <v>69</v>
      </c>
      <c r="D21" s="16">
        <v>2608784951</v>
      </c>
      <c r="E21" s="17">
        <v>12</v>
      </c>
    </row>
    <row r="22" spans="3:5" ht="23.4">
      <c r="C22" s="15" t="s">
        <v>70</v>
      </c>
      <c r="D22" s="16" t="s">
        <v>42</v>
      </c>
      <c r="E22" s="17">
        <v>13</v>
      </c>
    </row>
    <row r="23" spans="3:5" ht="23.4">
      <c r="C23" s="15" t="s">
        <v>71</v>
      </c>
      <c r="D23" s="16">
        <v>2604668331</v>
      </c>
      <c r="E23" s="17">
        <v>14</v>
      </c>
    </row>
    <row r="24" spans="3:5" ht="23.4">
      <c r="C24" s="15" t="s">
        <v>72</v>
      </c>
      <c r="D24" s="16">
        <v>2527533000</v>
      </c>
      <c r="E24" s="17">
        <v>15</v>
      </c>
    </row>
    <row r="25" spans="3:5" ht="23.4">
      <c r="C25" s="15" t="s">
        <v>73</v>
      </c>
      <c r="D25" s="16">
        <v>2401757014</v>
      </c>
      <c r="E25" s="17">
        <v>16</v>
      </c>
    </row>
    <row r="26" spans="3:5" ht="23.4">
      <c r="C26" s="15" t="s">
        <v>74</v>
      </c>
      <c r="D26" s="16">
        <v>2604722571</v>
      </c>
      <c r="E26" s="17">
        <v>17</v>
      </c>
    </row>
    <row r="27" spans="3:5" ht="23.4">
      <c r="C27" s="15" t="s">
        <v>75</v>
      </c>
      <c r="D27" s="16">
        <v>2601792258</v>
      </c>
      <c r="E27" s="17">
        <v>18</v>
      </c>
    </row>
    <row r="28" spans="3:5" ht="23.4">
      <c r="C28" s="15" t="s">
        <v>76</v>
      </c>
      <c r="D28" s="16">
        <v>2547679718</v>
      </c>
      <c r="E28" s="17">
        <v>19</v>
      </c>
    </row>
    <row r="29" spans="3:5" ht="23.4">
      <c r="C29" s="15" t="s">
        <v>77</v>
      </c>
      <c r="D29" s="16" t="s">
        <v>26</v>
      </c>
      <c r="E29" s="17">
        <v>20</v>
      </c>
    </row>
    <row r="30" spans="3:5" ht="23.4">
      <c r="C30" s="15" t="s">
        <v>78</v>
      </c>
      <c r="D30" s="16" t="s">
        <v>28</v>
      </c>
      <c r="E30" s="17">
        <v>21</v>
      </c>
    </row>
    <row r="31" spans="3:5" ht="23.4">
      <c r="C31" s="15" t="s">
        <v>79</v>
      </c>
      <c r="D31" s="16">
        <v>2537345585</v>
      </c>
      <c r="E31" s="17">
        <v>22</v>
      </c>
    </row>
    <row r="32" spans="3:5" ht="23.4">
      <c r="C32" s="15" t="s">
        <v>80</v>
      </c>
      <c r="D32" s="16">
        <v>2511882058</v>
      </c>
      <c r="E32" s="17">
        <v>23</v>
      </c>
    </row>
    <row r="33" spans="3:5" ht="23.4">
      <c r="C33" s="15" t="s">
        <v>81</v>
      </c>
      <c r="D33" s="16">
        <v>2601791920</v>
      </c>
      <c r="E33" s="17">
        <v>24</v>
      </c>
    </row>
    <row r="34" spans="3:5" ht="23.4">
      <c r="C34" s="15" t="s">
        <v>82</v>
      </c>
      <c r="D34" s="16">
        <v>2532624547</v>
      </c>
      <c r="E34" s="17">
        <v>25</v>
      </c>
    </row>
    <row r="35" spans="3:5" ht="23.4">
      <c r="C35" s="15" t="s">
        <v>83</v>
      </c>
      <c r="D35" s="16">
        <v>2604668026</v>
      </c>
      <c r="E35" s="17">
        <v>26</v>
      </c>
    </row>
    <row r="36" spans="3:5" ht="23.4">
      <c r="C36" s="15" t="s">
        <v>84</v>
      </c>
      <c r="D36" s="16">
        <v>2387693936</v>
      </c>
      <c r="E36" s="17">
        <v>27</v>
      </c>
    </row>
    <row r="37" spans="3:5" ht="23.4">
      <c r="C37" s="15" t="s">
        <v>85</v>
      </c>
      <c r="D37" s="16">
        <v>2473306716</v>
      </c>
      <c r="E37" s="17">
        <v>28</v>
      </c>
    </row>
    <row r="38" spans="3:5" ht="23.4">
      <c r="C38" s="15" t="s">
        <v>86</v>
      </c>
      <c r="D38" s="16">
        <v>2574113771</v>
      </c>
      <c r="E38" s="17">
        <v>29</v>
      </c>
    </row>
    <row r="39" spans="3:5" ht="23.4">
      <c r="C39" s="15" t="s">
        <v>87</v>
      </c>
      <c r="D39" s="16">
        <v>2627468917</v>
      </c>
      <c r="E39" s="17">
        <v>30</v>
      </c>
    </row>
    <row r="40" spans="3:5" ht="23.4">
      <c r="C40" s="15" t="s">
        <v>88</v>
      </c>
      <c r="D40" s="16">
        <v>2436321257</v>
      </c>
      <c r="E40" s="17">
        <v>31</v>
      </c>
    </row>
    <row r="41" spans="3:5" ht="23.4">
      <c r="C41" s="15" t="s">
        <v>89</v>
      </c>
      <c r="D41" s="16">
        <v>2198168771</v>
      </c>
      <c r="E41" s="17">
        <v>32</v>
      </c>
    </row>
    <row r="42" spans="3:5" ht="23.4">
      <c r="C42" s="15" t="s">
        <v>90</v>
      </c>
      <c r="D42" s="16">
        <v>2477938647</v>
      </c>
      <c r="E42" s="17">
        <v>33</v>
      </c>
    </row>
    <row r="43" spans="3:5" ht="23.4">
      <c r="C43" s="15" t="s">
        <v>91</v>
      </c>
      <c r="D43" s="16">
        <v>2413157971</v>
      </c>
      <c r="E43" s="17">
        <v>34</v>
      </c>
    </row>
    <row r="44" spans="3:5" ht="23.4">
      <c r="C44" s="15" t="s">
        <v>92</v>
      </c>
      <c r="D44" s="16">
        <v>2558398422</v>
      </c>
      <c r="E44" s="17">
        <v>35</v>
      </c>
    </row>
    <row r="45" spans="3:5" ht="23.4">
      <c r="C45" s="15" t="s">
        <v>93</v>
      </c>
      <c r="D45" s="16">
        <v>2494588201</v>
      </c>
      <c r="E45" s="17">
        <v>36</v>
      </c>
    </row>
    <row r="46" spans="3:5" ht="23.4">
      <c r="C46" s="15" t="s">
        <v>94</v>
      </c>
      <c r="D46" s="16" t="s">
        <v>47</v>
      </c>
      <c r="E46" s="17">
        <v>37</v>
      </c>
    </row>
    <row r="47" spans="3:5" ht="23.4">
      <c r="C47" s="15" t="s">
        <v>95</v>
      </c>
      <c r="D47" s="16">
        <v>2531452734</v>
      </c>
      <c r="E47" s="17">
        <v>38</v>
      </c>
    </row>
    <row r="48" spans="3:5" ht="23.4">
      <c r="C48" s="15" t="s">
        <v>96</v>
      </c>
      <c r="D48" s="16">
        <v>2494626852</v>
      </c>
      <c r="E48" s="17">
        <v>39</v>
      </c>
    </row>
    <row r="49" spans="2:5" ht="23.4">
      <c r="C49" s="15" t="s">
        <v>97</v>
      </c>
      <c r="D49" s="16">
        <v>2476765793</v>
      </c>
      <c r="E49" s="17">
        <v>40</v>
      </c>
    </row>
    <row r="50" spans="2:5" ht="23.4">
      <c r="C50" s="15" t="s">
        <v>98</v>
      </c>
      <c r="D50" s="16">
        <v>2625602244</v>
      </c>
      <c r="E50" s="17">
        <v>41</v>
      </c>
    </row>
    <row r="51" spans="2:5" ht="23.4">
      <c r="C51" s="15" t="s">
        <v>99</v>
      </c>
      <c r="D51" s="16">
        <v>2616103483</v>
      </c>
      <c r="E51" s="17">
        <v>42</v>
      </c>
    </row>
    <row r="52" spans="2:5" ht="23.4">
      <c r="C52" s="15" t="s">
        <v>100</v>
      </c>
      <c r="D52" s="16" t="s">
        <v>54</v>
      </c>
      <c r="E52" s="17">
        <v>43</v>
      </c>
    </row>
    <row r="53" spans="2:5" ht="23.4">
      <c r="C53" s="15" t="s">
        <v>101</v>
      </c>
      <c r="D53" s="16">
        <v>2537676427</v>
      </c>
      <c r="E53" s="17">
        <v>44</v>
      </c>
    </row>
    <row r="54" spans="2:5" ht="22.8">
      <c r="B54" s="56"/>
      <c r="C54" s="57" t="s">
        <v>106</v>
      </c>
      <c r="D54" s="57">
        <v>2465500615</v>
      </c>
      <c r="E54" s="58">
        <v>45</v>
      </c>
    </row>
    <row r="55" spans="2:5" ht="22.8">
      <c r="B55" s="56"/>
      <c r="C55" s="57" t="s">
        <v>107</v>
      </c>
      <c r="D55" s="57">
        <v>2441349350</v>
      </c>
      <c r="E55" s="58">
        <v>46</v>
      </c>
    </row>
  </sheetData>
  <conditionalFormatting sqref="D54">
    <cfRule type="duplicateValues" dxfId="16" priority="3"/>
  </conditionalFormatting>
  <conditionalFormatting sqref="C54">
    <cfRule type="duplicateValues" dxfId="15" priority="4"/>
  </conditionalFormatting>
  <conditionalFormatting sqref="D55">
    <cfRule type="duplicateValues" dxfId="14" priority="1"/>
  </conditionalFormatting>
  <conditionalFormatting sqref="C55">
    <cfRule type="duplicateValues" dxfId="13" priority="2"/>
  </conditionalFormatting>
  <pageMargins left="0.7" right="0.7" top="0.75" bottom="0.75" header="0.3" footer="0.3"/>
  <pageSetup scale="5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7FD4-F049-48A8-A0CE-A5C445E57E90}">
  <sheetPr>
    <pageSetUpPr fitToPage="1"/>
  </sheetPr>
  <dimension ref="A1:AP52"/>
  <sheetViews>
    <sheetView tabSelected="1" topLeftCell="A37" workbookViewId="0">
      <selection activeCell="W63" sqref="W63"/>
    </sheetView>
  </sheetViews>
  <sheetFormatPr defaultRowHeight="13.8"/>
  <cols>
    <col min="1" max="1" width="5.88671875" style="33" bestFit="1" customWidth="1"/>
    <col min="2" max="2" width="38.88671875" style="33" bestFit="1" customWidth="1"/>
    <col min="3" max="3" width="13.88671875" style="33" bestFit="1" customWidth="1"/>
    <col min="4" max="4" width="5.21875" style="33" customWidth="1"/>
    <col min="5" max="5" width="5" style="33" bestFit="1" customWidth="1"/>
    <col min="6" max="6" width="4.109375" style="33" bestFit="1" customWidth="1"/>
    <col min="7" max="7" width="5.109375" style="33" bestFit="1" customWidth="1"/>
    <col min="8" max="8" width="4.21875" style="33" bestFit="1" customWidth="1"/>
    <col min="9" max="10" width="4.109375" style="33" bestFit="1" customWidth="1"/>
    <col min="11" max="11" width="4.21875" style="53" bestFit="1" customWidth="1"/>
    <col min="12" max="12" width="5" style="33" bestFit="1" customWidth="1"/>
    <col min="13" max="13" width="4.109375" style="33" bestFit="1" customWidth="1"/>
    <col min="14" max="14" width="5.109375" style="33" bestFit="1" customWidth="1"/>
    <col min="15" max="15" width="4.21875" style="33" bestFit="1" customWidth="1"/>
    <col min="16" max="17" width="4.109375" style="33" bestFit="1" customWidth="1"/>
    <col min="18" max="18" width="4.21875" style="33" bestFit="1" customWidth="1"/>
    <col min="19" max="19" width="5" style="33" bestFit="1" customWidth="1"/>
    <col min="20" max="20" width="4.109375" style="33" bestFit="1" customWidth="1"/>
    <col min="21" max="21" width="5.109375" style="33" bestFit="1" customWidth="1"/>
    <col min="22" max="22" width="4.21875" style="33" bestFit="1" customWidth="1"/>
    <col min="23" max="24" width="4.109375" style="33" bestFit="1" customWidth="1"/>
    <col min="25" max="25" width="4.21875" style="33" bestFit="1" customWidth="1"/>
    <col min="26" max="26" width="5" style="33" bestFit="1" customWidth="1"/>
    <col min="27" max="27" width="4.109375" style="33" bestFit="1" customWidth="1"/>
    <col min="28" max="28" width="5.109375" style="33" bestFit="1" customWidth="1"/>
    <col min="29" max="29" width="4.21875" style="33" bestFit="1" customWidth="1"/>
    <col min="30" max="33" width="4.109375" style="33" bestFit="1" customWidth="1"/>
    <col min="34" max="34" width="8.88671875" style="33"/>
    <col min="35" max="35" width="109.5546875" style="33" customWidth="1"/>
    <col min="36" max="16384" width="8.88671875" style="33"/>
  </cols>
  <sheetData>
    <row r="1" spans="1:33" ht="22.8" customHeight="1" thickBot="1">
      <c r="B1" s="88" t="s">
        <v>108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3" ht="34.799999999999997">
      <c r="A2" s="90" t="s">
        <v>105</v>
      </c>
      <c r="B2" s="92" t="s">
        <v>3</v>
      </c>
      <c r="C2" s="90" t="s">
        <v>4</v>
      </c>
      <c r="D2" s="34">
        <v>46054</v>
      </c>
      <c r="E2" s="34">
        <v>46055</v>
      </c>
      <c r="F2" s="34">
        <v>46056</v>
      </c>
      <c r="G2" s="34">
        <v>46057</v>
      </c>
      <c r="H2" s="34">
        <v>46058</v>
      </c>
      <c r="I2" s="34">
        <v>46059</v>
      </c>
      <c r="J2" s="34">
        <v>46060</v>
      </c>
      <c r="K2" s="34">
        <v>46061</v>
      </c>
      <c r="L2" s="34">
        <v>46062</v>
      </c>
      <c r="M2" s="34">
        <v>46063</v>
      </c>
      <c r="N2" s="34">
        <v>46064</v>
      </c>
      <c r="O2" s="34">
        <v>46065</v>
      </c>
      <c r="P2" s="34">
        <v>46066</v>
      </c>
      <c r="Q2" s="34">
        <v>46067</v>
      </c>
      <c r="R2" s="34">
        <v>46068</v>
      </c>
      <c r="S2" s="34">
        <v>46069</v>
      </c>
      <c r="T2" s="34">
        <v>46070</v>
      </c>
      <c r="U2" s="34">
        <v>46071</v>
      </c>
      <c r="V2" s="34">
        <v>46072</v>
      </c>
      <c r="W2" s="34">
        <v>46073</v>
      </c>
      <c r="X2" s="34">
        <v>46074</v>
      </c>
      <c r="Y2" s="34">
        <v>46075</v>
      </c>
      <c r="Z2" s="34">
        <v>46076</v>
      </c>
      <c r="AA2" s="34">
        <v>46077</v>
      </c>
      <c r="AB2" s="34">
        <v>46078</v>
      </c>
      <c r="AC2" s="34">
        <v>46079</v>
      </c>
      <c r="AD2" s="34">
        <v>46080</v>
      </c>
      <c r="AE2" s="35">
        <v>46081</v>
      </c>
      <c r="AF2" s="94" t="s">
        <v>0</v>
      </c>
      <c r="AG2" s="96" t="s">
        <v>1</v>
      </c>
    </row>
    <row r="3" spans="1:33" ht="14.4" thickBot="1">
      <c r="A3" s="91"/>
      <c r="B3" s="93"/>
      <c r="C3" s="91"/>
      <c r="D3" s="36" t="str">
        <f t="shared" ref="D3:AE3" si="0">TEXT(D2,"ddd")</f>
        <v>Sun</v>
      </c>
      <c r="E3" s="36" t="str">
        <f t="shared" si="0"/>
        <v>Mon</v>
      </c>
      <c r="F3" s="36" t="str">
        <f t="shared" si="0"/>
        <v>Tue</v>
      </c>
      <c r="G3" s="36" t="str">
        <f t="shared" si="0"/>
        <v>Wed</v>
      </c>
      <c r="H3" s="36" t="str">
        <f t="shared" si="0"/>
        <v>Thu</v>
      </c>
      <c r="I3" s="36" t="str">
        <f t="shared" si="0"/>
        <v>Fri</v>
      </c>
      <c r="J3" s="36" t="str">
        <f t="shared" si="0"/>
        <v>Sat</v>
      </c>
      <c r="K3" s="36" t="str">
        <f t="shared" si="0"/>
        <v>Sun</v>
      </c>
      <c r="L3" s="36" t="str">
        <f t="shared" si="0"/>
        <v>Mon</v>
      </c>
      <c r="M3" s="36" t="str">
        <f t="shared" si="0"/>
        <v>Tue</v>
      </c>
      <c r="N3" s="36" t="str">
        <f t="shared" si="0"/>
        <v>Wed</v>
      </c>
      <c r="O3" s="36" t="str">
        <f t="shared" si="0"/>
        <v>Thu</v>
      </c>
      <c r="P3" s="36" t="str">
        <f t="shared" si="0"/>
        <v>Fri</v>
      </c>
      <c r="Q3" s="36" t="str">
        <f t="shared" si="0"/>
        <v>Sat</v>
      </c>
      <c r="R3" s="36" t="str">
        <f t="shared" si="0"/>
        <v>Sun</v>
      </c>
      <c r="S3" s="36" t="str">
        <f t="shared" si="0"/>
        <v>Mon</v>
      </c>
      <c r="T3" s="36" t="str">
        <f t="shared" si="0"/>
        <v>Tue</v>
      </c>
      <c r="U3" s="36" t="str">
        <f t="shared" si="0"/>
        <v>Wed</v>
      </c>
      <c r="V3" s="36" t="str">
        <f t="shared" si="0"/>
        <v>Thu</v>
      </c>
      <c r="W3" s="36" t="str">
        <f t="shared" si="0"/>
        <v>Fri</v>
      </c>
      <c r="X3" s="36" t="str">
        <f t="shared" si="0"/>
        <v>Sat</v>
      </c>
      <c r="Y3" s="36" t="str">
        <f t="shared" si="0"/>
        <v>Sun</v>
      </c>
      <c r="Z3" s="36" t="str">
        <f t="shared" si="0"/>
        <v>Mon</v>
      </c>
      <c r="AA3" s="36" t="str">
        <f t="shared" si="0"/>
        <v>Tue</v>
      </c>
      <c r="AB3" s="36" t="str">
        <f t="shared" si="0"/>
        <v>Wed</v>
      </c>
      <c r="AC3" s="36" t="str">
        <f t="shared" si="0"/>
        <v>Thu</v>
      </c>
      <c r="AD3" s="36" t="str">
        <f t="shared" si="0"/>
        <v>Fri</v>
      </c>
      <c r="AE3" s="37" t="str">
        <f t="shared" si="0"/>
        <v>Sat</v>
      </c>
      <c r="AF3" s="95"/>
      <c r="AG3" s="97"/>
    </row>
    <row r="4" spans="1:33" ht="14.4" thickBot="1">
      <c r="A4" s="38">
        <v>1</v>
      </c>
      <c r="B4" s="39" t="s">
        <v>53</v>
      </c>
      <c r="C4" s="40">
        <v>2609387903</v>
      </c>
      <c r="D4" s="79"/>
      <c r="E4" s="80"/>
      <c r="F4" s="80"/>
      <c r="G4" s="80"/>
      <c r="H4" s="81"/>
      <c r="I4" s="41"/>
      <c r="J4" s="42" t="s">
        <v>104</v>
      </c>
      <c r="K4" s="43" t="s">
        <v>104</v>
      </c>
      <c r="L4" s="43" t="s">
        <v>104</v>
      </c>
      <c r="M4" s="43" t="s">
        <v>104</v>
      </c>
      <c r="N4" s="43" t="s">
        <v>104</v>
      </c>
      <c r="O4" s="43" t="s">
        <v>104</v>
      </c>
      <c r="P4" s="41"/>
      <c r="Q4" s="43" t="s">
        <v>104</v>
      </c>
      <c r="R4" s="43" t="s">
        <v>104</v>
      </c>
      <c r="S4" s="43"/>
      <c r="T4" s="43"/>
      <c r="U4" s="43"/>
      <c r="V4" s="43"/>
      <c r="W4" s="43"/>
      <c r="X4" s="43"/>
      <c r="Y4" s="43"/>
      <c r="Z4" s="43"/>
      <c r="AA4" s="42"/>
      <c r="AB4" s="42"/>
      <c r="AC4" s="42"/>
      <c r="AD4" s="42"/>
      <c r="AE4" s="44"/>
      <c r="AF4" s="45">
        <f>COUNTIF(D4:AE4,"P")</f>
        <v>8</v>
      </c>
      <c r="AG4" s="46">
        <f>COUNTIF(D4:AE4,"A")</f>
        <v>0</v>
      </c>
    </row>
    <row r="5" spans="1:33" ht="14.4" thickBot="1">
      <c r="A5" s="38">
        <v>2</v>
      </c>
      <c r="B5" s="39" t="s">
        <v>8</v>
      </c>
      <c r="C5" s="40">
        <v>2488912003</v>
      </c>
      <c r="D5" s="82"/>
      <c r="E5" s="83"/>
      <c r="F5" s="83"/>
      <c r="G5" s="83"/>
      <c r="H5" s="84"/>
      <c r="I5" s="41"/>
      <c r="J5" s="42" t="s">
        <v>104</v>
      </c>
      <c r="K5" s="43" t="s">
        <v>104</v>
      </c>
      <c r="L5" s="43" t="s">
        <v>104</v>
      </c>
      <c r="M5" s="43" t="s">
        <v>104</v>
      </c>
      <c r="N5" s="43" t="s">
        <v>104</v>
      </c>
      <c r="O5" s="43" t="s">
        <v>104</v>
      </c>
      <c r="P5" s="41"/>
      <c r="Q5" s="43" t="s">
        <v>104</v>
      </c>
      <c r="R5" s="43" t="s">
        <v>104</v>
      </c>
      <c r="S5" s="43"/>
      <c r="T5" s="43"/>
      <c r="U5" s="43"/>
      <c r="V5" s="43"/>
      <c r="W5" s="43"/>
      <c r="X5" s="43"/>
      <c r="Y5" s="43"/>
      <c r="Z5" s="43"/>
      <c r="AA5" s="42"/>
      <c r="AB5" s="42"/>
      <c r="AC5" s="42"/>
      <c r="AD5" s="42"/>
      <c r="AE5" s="44"/>
      <c r="AF5" s="47">
        <f t="shared" ref="AF5:AF49" si="1">COUNTIF(D5:AE5,"P")</f>
        <v>8</v>
      </c>
      <c r="AG5" s="48">
        <f t="shared" ref="AG5:AG49" si="2">COUNTIF(D5:AE5,"A")</f>
        <v>0</v>
      </c>
    </row>
    <row r="6" spans="1:33" ht="14.4" thickBot="1">
      <c r="A6" s="38">
        <v>3</v>
      </c>
      <c r="B6" s="39" t="s">
        <v>9</v>
      </c>
      <c r="C6" s="40">
        <v>2577031640</v>
      </c>
      <c r="D6" s="82"/>
      <c r="E6" s="83"/>
      <c r="F6" s="83"/>
      <c r="G6" s="83"/>
      <c r="H6" s="84"/>
      <c r="I6" s="41"/>
      <c r="J6" s="42" t="s">
        <v>104</v>
      </c>
      <c r="K6" s="43" t="s">
        <v>104</v>
      </c>
      <c r="L6" s="43" t="s">
        <v>104</v>
      </c>
      <c r="M6" s="43" t="s">
        <v>104</v>
      </c>
      <c r="N6" s="43" t="s">
        <v>104</v>
      </c>
      <c r="O6" s="43" t="s">
        <v>104</v>
      </c>
      <c r="P6" s="41"/>
      <c r="Q6" s="43" t="s">
        <v>104</v>
      </c>
      <c r="R6" s="43" t="s">
        <v>104</v>
      </c>
      <c r="S6" s="43"/>
      <c r="T6" s="43"/>
      <c r="U6" s="43"/>
      <c r="V6" s="43"/>
      <c r="W6" s="43"/>
      <c r="X6" s="43"/>
      <c r="Y6" s="43"/>
      <c r="Z6" s="43"/>
      <c r="AA6" s="42"/>
      <c r="AB6" s="42"/>
      <c r="AC6" s="42"/>
      <c r="AD6" s="42"/>
      <c r="AE6" s="44"/>
      <c r="AF6" s="47">
        <f t="shared" si="1"/>
        <v>8</v>
      </c>
      <c r="AG6" s="48">
        <f t="shared" si="2"/>
        <v>0</v>
      </c>
    </row>
    <row r="7" spans="1:33" ht="14.4" thickBot="1">
      <c r="A7" s="38">
        <v>4</v>
      </c>
      <c r="B7" s="39" t="s">
        <v>10</v>
      </c>
      <c r="C7" s="40">
        <v>2576756247</v>
      </c>
      <c r="D7" s="82"/>
      <c r="E7" s="83"/>
      <c r="F7" s="83"/>
      <c r="G7" s="83"/>
      <c r="H7" s="84"/>
      <c r="I7" s="41"/>
      <c r="J7" s="42" t="s">
        <v>104</v>
      </c>
      <c r="K7" s="43" t="s">
        <v>104</v>
      </c>
      <c r="L7" s="43" t="s">
        <v>104</v>
      </c>
      <c r="M7" s="43" t="s">
        <v>104</v>
      </c>
      <c r="N7" s="43" t="s">
        <v>104</v>
      </c>
      <c r="O7" s="43" t="s">
        <v>104</v>
      </c>
      <c r="P7" s="41"/>
      <c r="Q7" s="43" t="s">
        <v>104</v>
      </c>
      <c r="R7" s="43" t="s">
        <v>104</v>
      </c>
      <c r="S7" s="43"/>
      <c r="T7" s="43"/>
      <c r="U7" s="43"/>
      <c r="V7" s="43"/>
      <c r="W7" s="43"/>
      <c r="X7" s="43"/>
      <c r="Y7" s="43"/>
      <c r="Z7" s="43"/>
      <c r="AA7" s="42"/>
      <c r="AB7" s="42"/>
      <c r="AC7" s="42"/>
      <c r="AD7" s="42"/>
      <c r="AE7" s="44"/>
      <c r="AF7" s="47">
        <f t="shared" si="1"/>
        <v>8</v>
      </c>
      <c r="AG7" s="48">
        <f t="shared" si="2"/>
        <v>0</v>
      </c>
    </row>
    <row r="8" spans="1:33" ht="14.4" thickBot="1">
      <c r="A8" s="38">
        <v>5</v>
      </c>
      <c r="B8" s="39" t="s">
        <v>11</v>
      </c>
      <c r="C8" s="40">
        <v>2499338586</v>
      </c>
      <c r="D8" s="82"/>
      <c r="E8" s="83"/>
      <c r="F8" s="83"/>
      <c r="G8" s="83"/>
      <c r="H8" s="84"/>
      <c r="I8" s="41"/>
      <c r="J8" s="42" t="s">
        <v>104</v>
      </c>
      <c r="K8" s="43" t="s">
        <v>104</v>
      </c>
      <c r="L8" s="43" t="s">
        <v>104</v>
      </c>
      <c r="M8" s="43" t="s">
        <v>103</v>
      </c>
      <c r="N8" s="43" t="s">
        <v>104</v>
      </c>
      <c r="O8" s="43" t="s">
        <v>104</v>
      </c>
      <c r="P8" s="41"/>
      <c r="Q8" s="43" t="s">
        <v>104</v>
      </c>
      <c r="R8" s="43" t="s">
        <v>104</v>
      </c>
      <c r="S8" s="43"/>
      <c r="T8" s="43"/>
      <c r="U8" s="43"/>
      <c r="V8" s="43"/>
      <c r="W8" s="43"/>
      <c r="X8" s="43"/>
      <c r="Y8" s="43"/>
      <c r="Z8" s="43"/>
      <c r="AA8" s="42"/>
      <c r="AB8" s="42"/>
      <c r="AC8" s="42"/>
      <c r="AD8" s="42"/>
      <c r="AE8" s="44"/>
      <c r="AF8" s="47">
        <f t="shared" si="1"/>
        <v>7</v>
      </c>
      <c r="AG8" s="48">
        <f t="shared" si="2"/>
        <v>1</v>
      </c>
    </row>
    <row r="9" spans="1:33" ht="14.4" thickBot="1">
      <c r="A9" s="38">
        <v>6</v>
      </c>
      <c r="B9" s="39" t="s">
        <v>12</v>
      </c>
      <c r="C9" s="40">
        <v>2603708278</v>
      </c>
      <c r="D9" s="82"/>
      <c r="E9" s="83"/>
      <c r="F9" s="83"/>
      <c r="G9" s="83"/>
      <c r="H9" s="84"/>
      <c r="I9" s="41"/>
      <c r="J9" s="42" t="s">
        <v>104</v>
      </c>
      <c r="K9" s="43" t="s">
        <v>103</v>
      </c>
      <c r="L9" s="43" t="s">
        <v>104</v>
      </c>
      <c r="M9" s="43" t="s">
        <v>104</v>
      </c>
      <c r="N9" s="43" t="s">
        <v>104</v>
      </c>
      <c r="O9" s="43" t="s">
        <v>104</v>
      </c>
      <c r="P9" s="41"/>
      <c r="Q9" s="43" t="s">
        <v>104</v>
      </c>
      <c r="R9" s="43" t="s">
        <v>104</v>
      </c>
      <c r="S9" s="43"/>
      <c r="T9" s="43"/>
      <c r="U9" s="43"/>
      <c r="V9" s="43"/>
      <c r="W9" s="43"/>
      <c r="X9" s="43"/>
      <c r="Y9" s="43"/>
      <c r="Z9" s="43"/>
      <c r="AA9" s="42"/>
      <c r="AB9" s="42"/>
      <c r="AC9" s="42"/>
      <c r="AD9" s="42"/>
      <c r="AE9" s="44"/>
      <c r="AF9" s="47">
        <f t="shared" si="1"/>
        <v>7</v>
      </c>
      <c r="AG9" s="48">
        <f t="shared" si="2"/>
        <v>1</v>
      </c>
    </row>
    <row r="10" spans="1:33" ht="14.4" thickBot="1">
      <c r="A10" s="38">
        <v>7</v>
      </c>
      <c r="B10" s="39" t="s">
        <v>13</v>
      </c>
      <c r="C10" s="40">
        <v>2585296408</v>
      </c>
      <c r="D10" s="82"/>
      <c r="E10" s="83"/>
      <c r="F10" s="83"/>
      <c r="G10" s="83"/>
      <c r="H10" s="84"/>
      <c r="I10" s="41"/>
      <c r="J10" s="42" t="s">
        <v>104</v>
      </c>
      <c r="K10" s="43" t="s">
        <v>104</v>
      </c>
      <c r="L10" s="43" t="s">
        <v>104</v>
      </c>
      <c r="M10" s="43" t="s">
        <v>104</v>
      </c>
      <c r="N10" s="43" t="s">
        <v>104</v>
      </c>
      <c r="O10" s="43" t="s">
        <v>104</v>
      </c>
      <c r="P10" s="41"/>
      <c r="Q10" s="43" t="s">
        <v>104</v>
      </c>
      <c r="R10" s="43" t="s">
        <v>103</v>
      </c>
      <c r="S10" s="43"/>
      <c r="T10" s="43"/>
      <c r="U10" s="43"/>
      <c r="V10" s="43"/>
      <c r="W10" s="43"/>
      <c r="X10" s="43"/>
      <c r="Y10" s="43"/>
      <c r="Z10" s="43"/>
      <c r="AA10" s="42"/>
      <c r="AB10" s="42"/>
      <c r="AC10" s="42"/>
      <c r="AD10" s="42"/>
      <c r="AE10" s="44"/>
      <c r="AF10" s="47">
        <f t="shared" si="1"/>
        <v>7</v>
      </c>
      <c r="AG10" s="48">
        <f t="shared" si="2"/>
        <v>1</v>
      </c>
    </row>
    <row r="11" spans="1:33" ht="14.4" thickBot="1">
      <c r="A11" s="38">
        <v>8</v>
      </c>
      <c r="B11" s="39" t="s">
        <v>14</v>
      </c>
      <c r="C11" s="40">
        <v>2589555008</v>
      </c>
      <c r="D11" s="82"/>
      <c r="E11" s="83"/>
      <c r="F11" s="83"/>
      <c r="G11" s="83"/>
      <c r="H11" s="84"/>
      <c r="I11" s="41"/>
      <c r="J11" s="42" t="s">
        <v>104</v>
      </c>
      <c r="K11" s="43" t="s">
        <v>104</v>
      </c>
      <c r="L11" s="43" t="s">
        <v>104</v>
      </c>
      <c r="M11" s="43" t="s">
        <v>104</v>
      </c>
      <c r="N11" s="43" t="s">
        <v>104</v>
      </c>
      <c r="O11" s="43" t="s">
        <v>104</v>
      </c>
      <c r="P11" s="41"/>
      <c r="Q11" s="43" t="s">
        <v>104</v>
      </c>
      <c r="R11" s="43" t="s">
        <v>104</v>
      </c>
      <c r="S11" s="43"/>
      <c r="T11" s="43"/>
      <c r="U11" s="43"/>
      <c r="V11" s="43"/>
      <c r="W11" s="43"/>
      <c r="X11" s="43"/>
      <c r="Y11" s="43"/>
      <c r="Z11" s="43"/>
      <c r="AA11" s="42"/>
      <c r="AB11" s="42"/>
      <c r="AC11" s="42"/>
      <c r="AD11" s="42"/>
      <c r="AE11" s="44"/>
      <c r="AF11" s="47">
        <f t="shared" si="1"/>
        <v>8</v>
      </c>
      <c r="AG11" s="48">
        <f t="shared" si="2"/>
        <v>0</v>
      </c>
    </row>
    <row r="12" spans="1:33" ht="14.4" thickBot="1">
      <c r="A12" s="38">
        <v>9</v>
      </c>
      <c r="B12" s="39" t="s">
        <v>15</v>
      </c>
      <c r="C12" s="40">
        <v>2450487216</v>
      </c>
      <c r="D12" s="82"/>
      <c r="E12" s="83"/>
      <c r="F12" s="83"/>
      <c r="G12" s="83"/>
      <c r="H12" s="84"/>
      <c r="I12" s="41"/>
      <c r="J12" s="42" t="s">
        <v>104</v>
      </c>
      <c r="K12" s="43" t="s">
        <v>104</v>
      </c>
      <c r="L12" s="43" t="s">
        <v>104</v>
      </c>
      <c r="M12" s="43" t="s">
        <v>104</v>
      </c>
      <c r="N12" s="43" t="s">
        <v>104</v>
      </c>
      <c r="O12" s="43" t="s">
        <v>104</v>
      </c>
      <c r="P12" s="41"/>
      <c r="Q12" s="43" t="s">
        <v>104</v>
      </c>
      <c r="R12" s="43" t="s">
        <v>104</v>
      </c>
      <c r="S12" s="43"/>
      <c r="T12" s="43"/>
      <c r="U12" s="43"/>
      <c r="V12" s="43"/>
      <c r="W12" s="43"/>
      <c r="X12" s="43"/>
      <c r="Y12" s="43"/>
      <c r="Z12" s="43"/>
      <c r="AA12" s="42"/>
      <c r="AB12" s="42"/>
      <c r="AC12" s="42"/>
      <c r="AD12" s="42"/>
      <c r="AE12" s="44"/>
      <c r="AF12" s="47">
        <f t="shared" si="1"/>
        <v>8</v>
      </c>
      <c r="AG12" s="48">
        <f t="shared" si="2"/>
        <v>0</v>
      </c>
    </row>
    <row r="13" spans="1:33" ht="14.4" thickBot="1">
      <c r="A13" s="38">
        <v>10</v>
      </c>
      <c r="B13" s="39" t="s">
        <v>16</v>
      </c>
      <c r="C13" s="40">
        <v>2609622366</v>
      </c>
      <c r="D13" s="82"/>
      <c r="E13" s="83"/>
      <c r="F13" s="83"/>
      <c r="G13" s="83"/>
      <c r="H13" s="84"/>
      <c r="I13" s="41"/>
      <c r="J13" s="42" t="s">
        <v>104</v>
      </c>
      <c r="K13" s="43" t="s">
        <v>104</v>
      </c>
      <c r="L13" s="43" t="s">
        <v>104</v>
      </c>
      <c r="M13" s="43" t="s">
        <v>103</v>
      </c>
      <c r="N13" s="43" t="s">
        <v>104</v>
      </c>
      <c r="O13" s="43" t="s">
        <v>104</v>
      </c>
      <c r="P13" s="41"/>
      <c r="Q13" s="43" t="s">
        <v>104</v>
      </c>
      <c r="R13" s="43" t="s">
        <v>104</v>
      </c>
      <c r="S13" s="43"/>
      <c r="T13" s="43"/>
      <c r="U13" s="43"/>
      <c r="V13" s="43"/>
      <c r="W13" s="43"/>
      <c r="X13" s="43"/>
      <c r="Y13" s="43"/>
      <c r="Z13" s="43"/>
      <c r="AA13" s="42"/>
      <c r="AB13" s="42"/>
      <c r="AC13" s="42"/>
      <c r="AD13" s="42"/>
      <c r="AE13" s="44"/>
      <c r="AF13" s="47">
        <f t="shared" si="1"/>
        <v>7</v>
      </c>
      <c r="AG13" s="48">
        <f t="shared" si="2"/>
        <v>1</v>
      </c>
    </row>
    <row r="14" spans="1:33" ht="14.4" thickBot="1">
      <c r="A14" s="38">
        <v>11</v>
      </c>
      <c r="B14" s="39" t="s">
        <v>17</v>
      </c>
      <c r="C14" s="40">
        <v>2586161081</v>
      </c>
      <c r="D14" s="82"/>
      <c r="E14" s="83"/>
      <c r="F14" s="83"/>
      <c r="G14" s="83"/>
      <c r="H14" s="84"/>
      <c r="I14" s="41"/>
      <c r="J14" s="42" t="s">
        <v>104</v>
      </c>
      <c r="K14" s="43" t="s">
        <v>104</v>
      </c>
      <c r="L14" s="43" t="s">
        <v>103</v>
      </c>
      <c r="M14" s="43" t="s">
        <v>104</v>
      </c>
      <c r="N14" s="43" t="s">
        <v>104</v>
      </c>
      <c r="O14" s="43" t="s">
        <v>104</v>
      </c>
      <c r="P14" s="41"/>
      <c r="Q14" s="43" t="s">
        <v>104</v>
      </c>
      <c r="R14" s="43" t="s">
        <v>103</v>
      </c>
      <c r="S14" s="43"/>
      <c r="T14" s="43"/>
      <c r="U14" s="43"/>
      <c r="V14" s="43"/>
      <c r="W14" s="43"/>
      <c r="X14" s="43"/>
      <c r="Y14" s="43"/>
      <c r="Z14" s="43"/>
      <c r="AA14" s="42"/>
      <c r="AB14" s="42"/>
      <c r="AC14" s="42"/>
      <c r="AD14" s="42"/>
      <c r="AE14" s="44"/>
      <c r="AF14" s="47">
        <f t="shared" si="1"/>
        <v>6</v>
      </c>
      <c r="AG14" s="48">
        <f t="shared" si="2"/>
        <v>2</v>
      </c>
    </row>
    <row r="15" spans="1:33" ht="14.4" thickBot="1">
      <c r="A15" s="38">
        <v>12</v>
      </c>
      <c r="B15" s="39" t="s">
        <v>18</v>
      </c>
      <c r="C15" s="40">
        <v>2608784951</v>
      </c>
      <c r="D15" s="82"/>
      <c r="E15" s="83"/>
      <c r="F15" s="83"/>
      <c r="G15" s="83"/>
      <c r="H15" s="84"/>
      <c r="I15" s="41"/>
      <c r="J15" s="42" t="s">
        <v>104</v>
      </c>
      <c r="K15" s="43" t="s">
        <v>104</v>
      </c>
      <c r="L15" s="43" t="s">
        <v>104</v>
      </c>
      <c r="M15" s="43" t="s">
        <v>103</v>
      </c>
      <c r="N15" s="43" t="s">
        <v>104</v>
      </c>
      <c r="O15" s="43" t="s">
        <v>104</v>
      </c>
      <c r="P15" s="41"/>
      <c r="Q15" s="43" t="s">
        <v>104</v>
      </c>
      <c r="R15" s="43" t="s">
        <v>104</v>
      </c>
      <c r="S15" s="43"/>
      <c r="T15" s="43"/>
      <c r="U15" s="43"/>
      <c r="V15" s="43"/>
      <c r="W15" s="43"/>
      <c r="X15" s="43"/>
      <c r="Y15" s="43"/>
      <c r="Z15" s="43"/>
      <c r="AA15" s="42"/>
      <c r="AB15" s="42"/>
      <c r="AC15" s="42"/>
      <c r="AD15" s="42"/>
      <c r="AE15" s="44"/>
      <c r="AF15" s="47">
        <f t="shared" si="1"/>
        <v>7</v>
      </c>
      <c r="AG15" s="48">
        <f t="shared" si="2"/>
        <v>1</v>
      </c>
    </row>
    <row r="16" spans="1:33" ht="14.4" thickBot="1">
      <c r="A16" s="38">
        <v>13</v>
      </c>
      <c r="B16" s="39" t="s">
        <v>41</v>
      </c>
      <c r="C16" s="40" t="s">
        <v>42</v>
      </c>
      <c r="D16" s="82"/>
      <c r="E16" s="83"/>
      <c r="F16" s="83"/>
      <c r="G16" s="83"/>
      <c r="H16" s="84"/>
      <c r="I16" s="41"/>
      <c r="J16" s="42" t="s">
        <v>104</v>
      </c>
      <c r="K16" s="43" t="s">
        <v>104</v>
      </c>
      <c r="L16" s="43" t="s">
        <v>104</v>
      </c>
      <c r="M16" s="43" t="s">
        <v>104</v>
      </c>
      <c r="N16" s="43" t="s">
        <v>104</v>
      </c>
      <c r="O16" s="43" t="s">
        <v>104</v>
      </c>
      <c r="P16" s="41"/>
      <c r="Q16" s="43" t="s">
        <v>104</v>
      </c>
      <c r="R16" s="43" t="s">
        <v>104</v>
      </c>
      <c r="S16" s="43"/>
      <c r="T16" s="43"/>
      <c r="U16" s="43"/>
      <c r="V16" s="43"/>
      <c r="W16" s="43"/>
      <c r="X16" s="43"/>
      <c r="Y16" s="43"/>
      <c r="Z16" s="43"/>
      <c r="AA16" s="42"/>
      <c r="AB16" s="42"/>
      <c r="AC16" s="42"/>
      <c r="AD16" s="42"/>
      <c r="AE16" s="44"/>
      <c r="AF16" s="47">
        <f t="shared" si="1"/>
        <v>8</v>
      </c>
      <c r="AG16" s="48">
        <f t="shared" si="2"/>
        <v>0</v>
      </c>
    </row>
    <row r="17" spans="1:33" ht="14.4" thickBot="1">
      <c r="A17" s="38">
        <v>14</v>
      </c>
      <c r="B17" s="49" t="s">
        <v>19</v>
      </c>
      <c r="C17" s="50">
        <v>2604668331</v>
      </c>
      <c r="D17" s="82"/>
      <c r="E17" s="83"/>
      <c r="F17" s="83"/>
      <c r="G17" s="83"/>
      <c r="H17" s="84"/>
      <c r="I17" s="41"/>
      <c r="J17" s="42" t="s">
        <v>103</v>
      </c>
      <c r="K17" s="43" t="s">
        <v>104</v>
      </c>
      <c r="L17" s="43" t="s">
        <v>103</v>
      </c>
      <c r="M17" s="43" t="s">
        <v>104</v>
      </c>
      <c r="N17" s="43" t="s">
        <v>104</v>
      </c>
      <c r="O17" s="43" t="s">
        <v>104</v>
      </c>
      <c r="P17" s="41"/>
      <c r="Q17" s="43" t="s">
        <v>104</v>
      </c>
      <c r="R17" s="43" t="s">
        <v>104</v>
      </c>
      <c r="S17" s="43"/>
      <c r="T17" s="43"/>
      <c r="U17" s="43"/>
      <c r="V17" s="43"/>
      <c r="W17" s="43"/>
      <c r="X17" s="43"/>
      <c r="Y17" s="43"/>
      <c r="Z17" s="43"/>
      <c r="AA17" s="42"/>
      <c r="AB17" s="42"/>
      <c r="AC17" s="42"/>
      <c r="AD17" s="42"/>
      <c r="AE17" s="44"/>
      <c r="AF17" s="47">
        <f t="shared" si="1"/>
        <v>6</v>
      </c>
      <c r="AG17" s="48">
        <f t="shared" si="2"/>
        <v>2</v>
      </c>
    </row>
    <row r="18" spans="1:33" ht="14.4" thickBot="1">
      <c r="A18" s="38">
        <v>15</v>
      </c>
      <c r="B18" s="49" t="s">
        <v>20</v>
      </c>
      <c r="C18" s="50">
        <v>2527533000</v>
      </c>
      <c r="D18" s="82"/>
      <c r="E18" s="83"/>
      <c r="F18" s="83"/>
      <c r="G18" s="83"/>
      <c r="H18" s="84"/>
      <c r="I18" s="41"/>
      <c r="J18" s="42" t="s">
        <v>104</v>
      </c>
      <c r="K18" s="43" t="s">
        <v>104</v>
      </c>
      <c r="L18" s="43" t="s">
        <v>104</v>
      </c>
      <c r="M18" s="43" t="s">
        <v>104</v>
      </c>
      <c r="N18" s="43" t="s">
        <v>104</v>
      </c>
      <c r="O18" s="43" t="s">
        <v>104</v>
      </c>
      <c r="P18" s="41"/>
      <c r="Q18" s="43" t="s">
        <v>104</v>
      </c>
      <c r="R18" s="43" t="s">
        <v>104</v>
      </c>
      <c r="S18" s="43"/>
      <c r="T18" s="43"/>
      <c r="U18" s="43"/>
      <c r="V18" s="43"/>
      <c r="W18" s="43"/>
      <c r="X18" s="43"/>
      <c r="Y18" s="43"/>
      <c r="Z18" s="43"/>
      <c r="AA18" s="42"/>
      <c r="AB18" s="42"/>
      <c r="AC18" s="42"/>
      <c r="AD18" s="42"/>
      <c r="AE18" s="44"/>
      <c r="AF18" s="47">
        <f t="shared" si="1"/>
        <v>8</v>
      </c>
      <c r="AG18" s="48">
        <f t="shared" si="2"/>
        <v>0</v>
      </c>
    </row>
    <row r="19" spans="1:33" ht="14.4" thickBot="1">
      <c r="A19" s="38">
        <v>16</v>
      </c>
      <c r="B19" s="49" t="s">
        <v>22</v>
      </c>
      <c r="C19" s="50">
        <v>2401757014</v>
      </c>
      <c r="D19" s="82"/>
      <c r="E19" s="83"/>
      <c r="F19" s="83"/>
      <c r="G19" s="83"/>
      <c r="H19" s="84"/>
      <c r="I19" s="41"/>
      <c r="J19" s="42" t="s">
        <v>104</v>
      </c>
      <c r="K19" s="43" t="s">
        <v>104</v>
      </c>
      <c r="L19" s="43" t="s">
        <v>104</v>
      </c>
      <c r="M19" s="43" t="s">
        <v>104</v>
      </c>
      <c r="N19" s="43" t="s">
        <v>104</v>
      </c>
      <c r="O19" s="43" t="s">
        <v>104</v>
      </c>
      <c r="P19" s="41"/>
      <c r="Q19" s="43" t="s">
        <v>104</v>
      </c>
      <c r="R19" s="43" t="s">
        <v>104</v>
      </c>
      <c r="S19" s="43"/>
      <c r="T19" s="43"/>
      <c r="U19" s="43"/>
      <c r="V19" s="43"/>
      <c r="W19" s="43"/>
      <c r="X19" s="43"/>
      <c r="Y19" s="43"/>
      <c r="Z19" s="43"/>
      <c r="AA19" s="42"/>
      <c r="AB19" s="42"/>
      <c r="AC19" s="42"/>
      <c r="AD19" s="42"/>
      <c r="AE19" s="44"/>
      <c r="AF19" s="47">
        <f t="shared" si="1"/>
        <v>8</v>
      </c>
      <c r="AG19" s="48">
        <f t="shared" si="2"/>
        <v>0</v>
      </c>
    </row>
    <row r="20" spans="1:33" ht="14.4" thickBot="1">
      <c r="A20" s="38">
        <v>17</v>
      </c>
      <c r="B20" s="49" t="s">
        <v>23</v>
      </c>
      <c r="C20" s="50">
        <v>2604722571</v>
      </c>
      <c r="D20" s="82"/>
      <c r="E20" s="83"/>
      <c r="F20" s="83"/>
      <c r="G20" s="83"/>
      <c r="H20" s="84"/>
      <c r="I20" s="41"/>
      <c r="J20" s="42" t="s">
        <v>104</v>
      </c>
      <c r="K20" s="43" t="s">
        <v>104</v>
      </c>
      <c r="L20" s="43" t="s">
        <v>104</v>
      </c>
      <c r="M20" s="43" t="s">
        <v>104</v>
      </c>
      <c r="N20" s="43" t="s">
        <v>104</v>
      </c>
      <c r="O20" s="43" t="s">
        <v>104</v>
      </c>
      <c r="P20" s="41"/>
      <c r="Q20" s="43" t="s">
        <v>104</v>
      </c>
      <c r="R20" s="43" t="s">
        <v>104</v>
      </c>
      <c r="S20" s="43"/>
      <c r="T20" s="43"/>
      <c r="U20" s="43"/>
      <c r="V20" s="43"/>
      <c r="W20" s="43"/>
      <c r="X20" s="43"/>
      <c r="Y20" s="43"/>
      <c r="Z20" s="43"/>
      <c r="AA20" s="42"/>
      <c r="AB20" s="42"/>
      <c r="AC20" s="42"/>
      <c r="AD20" s="42"/>
      <c r="AE20" s="44"/>
      <c r="AF20" s="47">
        <f t="shared" si="1"/>
        <v>8</v>
      </c>
      <c r="AG20" s="48">
        <f t="shared" si="2"/>
        <v>0</v>
      </c>
    </row>
    <row r="21" spans="1:33" ht="14.4" thickBot="1">
      <c r="A21" s="38">
        <v>18</v>
      </c>
      <c r="B21" s="49" t="s">
        <v>24</v>
      </c>
      <c r="C21" s="50">
        <v>2601792258</v>
      </c>
      <c r="D21" s="82"/>
      <c r="E21" s="83"/>
      <c r="F21" s="83"/>
      <c r="G21" s="83"/>
      <c r="H21" s="84"/>
      <c r="I21" s="41"/>
      <c r="J21" s="42" t="s">
        <v>104</v>
      </c>
      <c r="K21" s="43" t="s">
        <v>104</v>
      </c>
      <c r="L21" s="43" t="s">
        <v>104</v>
      </c>
      <c r="M21" s="43" t="s">
        <v>104</v>
      </c>
      <c r="N21" s="43" t="s">
        <v>104</v>
      </c>
      <c r="O21" s="43" t="s">
        <v>104</v>
      </c>
      <c r="P21" s="41"/>
      <c r="Q21" s="43" t="s">
        <v>104</v>
      </c>
      <c r="R21" s="43" t="s">
        <v>104</v>
      </c>
      <c r="S21" s="43"/>
      <c r="T21" s="43"/>
      <c r="U21" s="43"/>
      <c r="V21" s="43"/>
      <c r="W21" s="43"/>
      <c r="X21" s="43"/>
      <c r="Y21" s="43"/>
      <c r="Z21" s="43"/>
      <c r="AA21" s="42"/>
      <c r="AB21" s="42"/>
      <c r="AC21" s="42"/>
      <c r="AD21" s="42"/>
      <c r="AE21" s="44"/>
      <c r="AF21" s="47">
        <f t="shared" si="1"/>
        <v>8</v>
      </c>
      <c r="AG21" s="48">
        <f t="shared" si="2"/>
        <v>0</v>
      </c>
    </row>
    <row r="22" spans="1:33" ht="14.4" thickBot="1">
      <c r="A22" s="38">
        <v>19</v>
      </c>
      <c r="B22" s="49" t="s">
        <v>25</v>
      </c>
      <c r="C22" s="50">
        <v>2547679718</v>
      </c>
      <c r="D22" s="82"/>
      <c r="E22" s="83"/>
      <c r="F22" s="83"/>
      <c r="G22" s="83"/>
      <c r="H22" s="84"/>
      <c r="I22" s="41"/>
      <c r="J22" s="42" t="s">
        <v>104</v>
      </c>
      <c r="K22" s="43" t="s">
        <v>104</v>
      </c>
      <c r="L22" s="43" t="s">
        <v>104</v>
      </c>
      <c r="M22" s="43" t="s">
        <v>104</v>
      </c>
      <c r="N22" s="43" t="s">
        <v>104</v>
      </c>
      <c r="O22" s="43" t="s">
        <v>104</v>
      </c>
      <c r="P22" s="41"/>
      <c r="Q22" s="43" t="s">
        <v>104</v>
      </c>
      <c r="R22" s="43" t="s">
        <v>103</v>
      </c>
      <c r="S22" s="43"/>
      <c r="T22" s="43"/>
      <c r="U22" s="43"/>
      <c r="V22" s="43"/>
      <c r="W22" s="43"/>
      <c r="X22" s="43"/>
      <c r="Y22" s="43"/>
      <c r="Z22" s="43"/>
      <c r="AA22" s="42"/>
      <c r="AB22" s="42"/>
      <c r="AC22" s="42"/>
      <c r="AD22" s="42"/>
      <c r="AE22" s="44"/>
      <c r="AF22" s="47">
        <f t="shared" si="1"/>
        <v>7</v>
      </c>
      <c r="AG22" s="48">
        <f t="shared" si="2"/>
        <v>1</v>
      </c>
    </row>
    <row r="23" spans="1:33" ht="14.4" thickBot="1">
      <c r="A23" s="38">
        <v>20</v>
      </c>
      <c r="B23" s="49" t="s">
        <v>27</v>
      </c>
      <c r="C23" s="50" t="s">
        <v>26</v>
      </c>
      <c r="D23" s="82"/>
      <c r="E23" s="83"/>
      <c r="F23" s="83"/>
      <c r="G23" s="83"/>
      <c r="H23" s="84"/>
      <c r="I23" s="41"/>
      <c r="J23" s="42" t="s">
        <v>104</v>
      </c>
      <c r="K23" s="43" t="s">
        <v>104</v>
      </c>
      <c r="L23" s="43" t="s">
        <v>104</v>
      </c>
      <c r="M23" s="43" t="s">
        <v>104</v>
      </c>
      <c r="N23" s="43" t="s">
        <v>104</v>
      </c>
      <c r="O23" s="43" t="s">
        <v>104</v>
      </c>
      <c r="P23" s="41"/>
      <c r="Q23" s="43" t="s">
        <v>103</v>
      </c>
      <c r="R23" s="43" t="s">
        <v>104</v>
      </c>
      <c r="S23" s="43"/>
      <c r="T23" s="43"/>
      <c r="U23" s="43"/>
      <c r="V23" s="43"/>
      <c r="W23" s="43"/>
      <c r="X23" s="43"/>
      <c r="Y23" s="43"/>
      <c r="Z23" s="43"/>
      <c r="AA23" s="42"/>
      <c r="AB23" s="42"/>
      <c r="AC23" s="42"/>
      <c r="AD23" s="42"/>
      <c r="AE23" s="44"/>
      <c r="AF23" s="47">
        <f t="shared" si="1"/>
        <v>7</v>
      </c>
      <c r="AG23" s="48">
        <f t="shared" si="2"/>
        <v>1</v>
      </c>
    </row>
    <row r="24" spans="1:33" ht="14.4" thickBot="1">
      <c r="A24" s="38">
        <v>21</v>
      </c>
      <c r="B24" s="49" t="s">
        <v>29</v>
      </c>
      <c r="C24" s="50" t="s">
        <v>28</v>
      </c>
      <c r="D24" s="82"/>
      <c r="E24" s="83"/>
      <c r="F24" s="83"/>
      <c r="G24" s="83"/>
      <c r="H24" s="84"/>
      <c r="I24" s="41"/>
      <c r="J24" s="42" t="s">
        <v>104</v>
      </c>
      <c r="K24" s="43" t="s">
        <v>104</v>
      </c>
      <c r="L24" s="43" t="s">
        <v>104</v>
      </c>
      <c r="M24" s="43" t="s">
        <v>104</v>
      </c>
      <c r="N24" s="43" t="s">
        <v>104</v>
      </c>
      <c r="O24" s="43" t="s">
        <v>104</v>
      </c>
      <c r="P24" s="41"/>
      <c r="Q24" s="43" t="s">
        <v>103</v>
      </c>
      <c r="R24" s="43" t="s">
        <v>104</v>
      </c>
      <c r="S24" s="43"/>
      <c r="T24" s="43"/>
      <c r="U24" s="43"/>
      <c r="V24" s="43"/>
      <c r="W24" s="43"/>
      <c r="X24" s="43"/>
      <c r="Y24" s="43"/>
      <c r="Z24" s="43"/>
      <c r="AA24" s="42"/>
      <c r="AB24" s="42"/>
      <c r="AC24" s="42"/>
      <c r="AD24" s="42"/>
      <c r="AE24" s="44"/>
      <c r="AF24" s="47">
        <f t="shared" si="1"/>
        <v>7</v>
      </c>
      <c r="AG24" s="48">
        <f t="shared" si="2"/>
        <v>1</v>
      </c>
    </row>
    <row r="25" spans="1:33" ht="14.4" thickBot="1">
      <c r="A25" s="38">
        <v>22</v>
      </c>
      <c r="B25" s="49" t="s">
        <v>7</v>
      </c>
      <c r="C25" s="50">
        <v>2537345585</v>
      </c>
      <c r="D25" s="82"/>
      <c r="E25" s="83"/>
      <c r="F25" s="83"/>
      <c r="G25" s="83"/>
      <c r="H25" s="84"/>
      <c r="I25" s="41"/>
      <c r="J25" s="42" t="s">
        <v>104</v>
      </c>
      <c r="K25" s="43" t="s">
        <v>104</v>
      </c>
      <c r="L25" s="43" t="s">
        <v>104</v>
      </c>
      <c r="M25" s="43" t="s">
        <v>104</v>
      </c>
      <c r="N25" s="43" t="s">
        <v>104</v>
      </c>
      <c r="O25" s="43" t="s">
        <v>103</v>
      </c>
      <c r="P25" s="41"/>
      <c r="Q25" s="43" t="s">
        <v>104</v>
      </c>
      <c r="R25" s="43" t="s">
        <v>104</v>
      </c>
      <c r="S25" s="43"/>
      <c r="T25" s="43"/>
      <c r="U25" s="43"/>
      <c r="V25" s="43"/>
      <c r="W25" s="43"/>
      <c r="X25" s="43"/>
      <c r="Y25" s="43"/>
      <c r="Z25" s="43"/>
      <c r="AA25" s="42"/>
      <c r="AB25" s="42"/>
      <c r="AC25" s="42"/>
      <c r="AD25" s="42"/>
      <c r="AE25" s="44"/>
      <c r="AF25" s="47">
        <f t="shared" si="1"/>
        <v>7</v>
      </c>
      <c r="AG25" s="48">
        <f t="shared" si="2"/>
        <v>1</v>
      </c>
    </row>
    <row r="26" spans="1:33" ht="14.4" thickBot="1">
      <c r="A26" s="38">
        <v>23</v>
      </c>
      <c r="B26" s="49" t="s">
        <v>30</v>
      </c>
      <c r="C26" s="50">
        <v>2511882058</v>
      </c>
      <c r="D26" s="82"/>
      <c r="E26" s="83"/>
      <c r="F26" s="83"/>
      <c r="G26" s="83"/>
      <c r="H26" s="84"/>
      <c r="I26" s="41"/>
      <c r="J26" s="42" t="s">
        <v>104</v>
      </c>
      <c r="K26" s="43" t="s">
        <v>104</v>
      </c>
      <c r="L26" s="43" t="s">
        <v>103</v>
      </c>
      <c r="M26" s="43" t="s">
        <v>103</v>
      </c>
      <c r="N26" s="43" t="s">
        <v>104</v>
      </c>
      <c r="O26" s="43" t="s">
        <v>104</v>
      </c>
      <c r="P26" s="41"/>
      <c r="Q26" s="43" t="s">
        <v>103</v>
      </c>
      <c r="R26" s="43" t="s">
        <v>103</v>
      </c>
      <c r="S26" s="43"/>
      <c r="T26" s="43"/>
      <c r="U26" s="43"/>
      <c r="V26" s="43"/>
      <c r="W26" s="43"/>
      <c r="X26" s="43"/>
      <c r="Y26" s="43"/>
      <c r="Z26" s="43"/>
      <c r="AA26" s="42"/>
      <c r="AB26" s="42"/>
      <c r="AC26" s="42"/>
      <c r="AD26" s="42"/>
      <c r="AE26" s="44"/>
      <c r="AF26" s="47">
        <f t="shared" si="1"/>
        <v>4</v>
      </c>
      <c r="AG26" s="48">
        <f t="shared" si="2"/>
        <v>4</v>
      </c>
    </row>
    <row r="27" spans="1:33" ht="14.4" thickBot="1">
      <c r="A27" s="38">
        <v>24</v>
      </c>
      <c r="B27" s="49" t="s">
        <v>31</v>
      </c>
      <c r="C27" s="50">
        <v>2601791920</v>
      </c>
      <c r="D27" s="82"/>
      <c r="E27" s="83"/>
      <c r="F27" s="83"/>
      <c r="G27" s="83"/>
      <c r="H27" s="84"/>
      <c r="I27" s="41"/>
      <c r="J27" s="42" t="s">
        <v>103</v>
      </c>
      <c r="K27" s="43" t="s">
        <v>104</v>
      </c>
      <c r="L27" s="43" t="s">
        <v>104</v>
      </c>
      <c r="M27" s="43" t="s">
        <v>104</v>
      </c>
      <c r="N27" s="43" t="s">
        <v>104</v>
      </c>
      <c r="O27" s="43" t="s">
        <v>104</v>
      </c>
      <c r="P27" s="41"/>
      <c r="Q27" s="43" t="s">
        <v>104</v>
      </c>
      <c r="R27" s="43" t="s">
        <v>104</v>
      </c>
      <c r="S27" s="43"/>
      <c r="T27" s="43"/>
      <c r="U27" s="43"/>
      <c r="V27" s="43"/>
      <c r="W27" s="43"/>
      <c r="X27" s="43"/>
      <c r="Y27" s="43"/>
      <c r="Z27" s="43"/>
      <c r="AA27" s="42"/>
      <c r="AB27" s="42"/>
      <c r="AC27" s="42"/>
      <c r="AD27" s="42"/>
      <c r="AE27" s="44"/>
      <c r="AF27" s="47">
        <f t="shared" si="1"/>
        <v>7</v>
      </c>
      <c r="AG27" s="48">
        <f t="shared" si="2"/>
        <v>1</v>
      </c>
    </row>
    <row r="28" spans="1:33" ht="14.4" thickBot="1">
      <c r="A28" s="38">
        <v>25</v>
      </c>
      <c r="B28" s="49" t="s">
        <v>32</v>
      </c>
      <c r="C28" s="50">
        <v>2532624547</v>
      </c>
      <c r="D28" s="82"/>
      <c r="E28" s="83"/>
      <c r="F28" s="83"/>
      <c r="G28" s="83"/>
      <c r="H28" s="84"/>
      <c r="I28" s="41"/>
      <c r="J28" s="42" t="s">
        <v>104</v>
      </c>
      <c r="K28" s="43" t="s">
        <v>103</v>
      </c>
      <c r="L28" s="43" t="s">
        <v>104</v>
      </c>
      <c r="M28" s="43" t="s">
        <v>103</v>
      </c>
      <c r="N28" s="43" t="s">
        <v>104</v>
      </c>
      <c r="O28" s="43" t="s">
        <v>104</v>
      </c>
      <c r="P28" s="41"/>
      <c r="Q28" s="43" t="s">
        <v>103</v>
      </c>
      <c r="R28" s="43" t="s">
        <v>103</v>
      </c>
      <c r="S28" s="43"/>
      <c r="T28" s="43"/>
      <c r="U28" s="43"/>
      <c r="V28" s="43"/>
      <c r="W28" s="43"/>
      <c r="X28" s="43"/>
      <c r="Y28" s="43"/>
      <c r="Z28" s="43"/>
      <c r="AA28" s="42"/>
      <c r="AB28" s="42"/>
      <c r="AC28" s="42"/>
      <c r="AD28" s="42"/>
      <c r="AE28" s="44"/>
      <c r="AF28" s="47">
        <f t="shared" si="1"/>
        <v>4</v>
      </c>
      <c r="AG28" s="48">
        <f t="shared" si="2"/>
        <v>4</v>
      </c>
    </row>
    <row r="29" spans="1:33" ht="14.4" thickBot="1">
      <c r="A29" s="38">
        <v>26</v>
      </c>
      <c r="B29" s="49" t="s">
        <v>33</v>
      </c>
      <c r="C29" s="50">
        <v>2604668026</v>
      </c>
      <c r="D29" s="82"/>
      <c r="E29" s="83"/>
      <c r="F29" s="83"/>
      <c r="G29" s="83"/>
      <c r="H29" s="84"/>
      <c r="I29" s="41"/>
      <c r="J29" s="42" t="s">
        <v>103</v>
      </c>
      <c r="K29" s="43" t="s">
        <v>104</v>
      </c>
      <c r="L29" s="43" t="s">
        <v>103</v>
      </c>
      <c r="M29" s="43" t="s">
        <v>104</v>
      </c>
      <c r="N29" s="43" t="s">
        <v>104</v>
      </c>
      <c r="O29" s="43" t="s">
        <v>104</v>
      </c>
      <c r="P29" s="41"/>
      <c r="Q29" s="43" t="s">
        <v>104</v>
      </c>
      <c r="R29" s="43" t="s">
        <v>104</v>
      </c>
      <c r="S29" s="43"/>
      <c r="T29" s="43"/>
      <c r="U29" s="43"/>
      <c r="V29" s="43"/>
      <c r="W29" s="43"/>
      <c r="X29" s="43"/>
      <c r="Y29" s="43"/>
      <c r="Z29" s="43"/>
      <c r="AA29" s="42"/>
      <c r="AB29" s="42"/>
      <c r="AC29" s="42"/>
      <c r="AD29" s="42"/>
      <c r="AE29" s="44"/>
      <c r="AF29" s="47">
        <f t="shared" si="1"/>
        <v>6</v>
      </c>
      <c r="AG29" s="48">
        <f t="shared" si="2"/>
        <v>2</v>
      </c>
    </row>
    <row r="30" spans="1:33" ht="14.4" thickBot="1">
      <c r="A30" s="38">
        <v>27</v>
      </c>
      <c r="B30" s="49" t="s">
        <v>34</v>
      </c>
      <c r="C30" s="50">
        <v>2387693936</v>
      </c>
      <c r="D30" s="82"/>
      <c r="E30" s="83"/>
      <c r="F30" s="83"/>
      <c r="G30" s="83"/>
      <c r="H30" s="84"/>
      <c r="I30" s="41"/>
      <c r="J30" s="42" t="s">
        <v>103</v>
      </c>
      <c r="K30" s="43" t="s">
        <v>104</v>
      </c>
      <c r="L30" s="43" t="s">
        <v>104</v>
      </c>
      <c r="M30" s="43" t="s">
        <v>104</v>
      </c>
      <c r="N30" s="43" t="s">
        <v>104</v>
      </c>
      <c r="O30" s="43" t="s">
        <v>104</v>
      </c>
      <c r="P30" s="41"/>
      <c r="Q30" s="43" t="s">
        <v>104</v>
      </c>
      <c r="R30" s="43" t="s">
        <v>104</v>
      </c>
      <c r="S30" s="43"/>
      <c r="T30" s="43"/>
      <c r="U30" s="43"/>
      <c r="V30" s="43"/>
      <c r="W30" s="43"/>
      <c r="X30" s="43"/>
      <c r="Y30" s="43"/>
      <c r="Z30" s="43"/>
      <c r="AA30" s="42"/>
      <c r="AB30" s="42"/>
      <c r="AC30" s="42"/>
      <c r="AD30" s="42"/>
      <c r="AE30" s="44"/>
      <c r="AF30" s="47">
        <f t="shared" si="1"/>
        <v>7</v>
      </c>
      <c r="AG30" s="48">
        <f t="shared" si="2"/>
        <v>1</v>
      </c>
    </row>
    <row r="31" spans="1:33" ht="14.4" thickBot="1">
      <c r="A31" s="38">
        <v>28</v>
      </c>
      <c r="B31" s="49" t="s">
        <v>35</v>
      </c>
      <c r="C31" s="50">
        <v>2473306716</v>
      </c>
      <c r="D31" s="82"/>
      <c r="E31" s="83"/>
      <c r="F31" s="83"/>
      <c r="G31" s="83"/>
      <c r="H31" s="84"/>
      <c r="I31" s="41"/>
      <c r="J31" s="42" t="s">
        <v>104</v>
      </c>
      <c r="K31" s="43" t="s">
        <v>104</v>
      </c>
      <c r="L31" s="43" t="s">
        <v>104</v>
      </c>
      <c r="M31" s="43" t="s">
        <v>104</v>
      </c>
      <c r="N31" s="43" t="s">
        <v>104</v>
      </c>
      <c r="O31" s="43" t="s">
        <v>104</v>
      </c>
      <c r="P31" s="41"/>
      <c r="Q31" s="43" t="s">
        <v>104</v>
      </c>
      <c r="R31" s="43" t="s">
        <v>104</v>
      </c>
      <c r="S31" s="43"/>
      <c r="T31" s="43"/>
      <c r="U31" s="43"/>
      <c r="V31" s="43"/>
      <c r="W31" s="43"/>
      <c r="X31" s="43"/>
      <c r="Y31" s="43"/>
      <c r="Z31" s="43"/>
      <c r="AA31" s="42"/>
      <c r="AB31" s="42"/>
      <c r="AC31" s="42"/>
      <c r="AD31" s="42"/>
      <c r="AE31" s="44"/>
      <c r="AF31" s="47">
        <f t="shared" si="1"/>
        <v>8</v>
      </c>
      <c r="AG31" s="48">
        <f t="shared" si="2"/>
        <v>0</v>
      </c>
    </row>
    <row r="32" spans="1:33" ht="14.4" thickBot="1">
      <c r="A32" s="38">
        <v>29</v>
      </c>
      <c r="B32" s="49" t="s">
        <v>36</v>
      </c>
      <c r="C32" s="50">
        <v>2574113771</v>
      </c>
      <c r="D32" s="82"/>
      <c r="E32" s="83"/>
      <c r="F32" s="83"/>
      <c r="G32" s="83"/>
      <c r="H32" s="84"/>
      <c r="I32" s="41"/>
      <c r="J32" s="42" t="s">
        <v>104</v>
      </c>
      <c r="K32" s="43" t="s">
        <v>104</v>
      </c>
      <c r="L32" s="43" t="s">
        <v>104</v>
      </c>
      <c r="M32" s="43" t="s">
        <v>104</v>
      </c>
      <c r="N32" s="43" t="s">
        <v>104</v>
      </c>
      <c r="O32" s="43" t="s">
        <v>104</v>
      </c>
      <c r="P32" s="41"/>
      <c r="Q32" s="43" t="s">
        <v>104</v>
      </c>
      <c r="R32" s="43" t="s">
        <v>104</v>
      </c>
      <c r="S32" s="43"/>
      <c r="T32" s="43"/>
      <c r="U32" s="43"/>
      <c r="V32" s="43"/>
      <c r="W32" s="43"/>
      <c r="X32" s="43"/>
      <c r="Y32" s="43"/>
      <c r="Z32" s="43"/>
      <c r="AA32" s="42"/>
      <c r="AB32" s="42"/>
      <c r="AC32" s="42"/>
      <c r="AD32" s="42"/>
      <c r="AE32" s="44"/>
      <c r="AF32" s="47">
        <f t="shared" si="1"/>
        <v>8</v>
      </c>
      <c r="AG32" s="48">
        <f t="shared" si="2"/>
        <v>0</v>
      </c>
    </row>
    <row r="33" spans="1:33" ht="14.4" thickBot="1">
      <c r="A33" s="38">
        <v>30</v>
      </c>
      <c r="B33" s="49" t="s">
        <v>37</v>
      </c>
      <c r="C33" s="50">
        <v>2627468917</v>
      </c>
      <c r="D33" s="82"/>
      <c r="E33" s="83"/>
      <c r="F33" s="83"/>
      <c r="G33" s="83"/>
      <c r="H33" s="84"/>
      <c r="I33" s="41"/>
      <c r="J33" s="42" t="s">
        <v>104</v>
      </c>
      <c r="K33" s="43" t="s">
        <v>104</v>
      </c>
      <c r="L33" s="43" t="s">
        <v>104</v>
      </c>
      <c r="M33" s="43" t="s">
        <v>104</v>
      </c>
      <c r="N33" s="43" t="s">
        <v>104</v>
      </c>
      <c r="O33" s="43" t="s">
        <v>104</v>
      </c>
      <c r="P33" s="41"/>
      <c r="Q33" s="43" t="s">
        <v>104</v>
      </c>
      <c r="R33" s="43" t="s">
        <v>104</v>
      </c>
      <c r="S33" s="43"/>
      <c r="T33" s="43"/>
      <c r="U33" s="43"/>
      <c r="V33" s="43"/>
      <c r="W33" s="43"/>
      <c r="X33" s="43"/>
      <c r="Y33" s="43"/>
      <c r="Z33" s="43"/>
      <c r="AA33" s="42"/>
      <c r="AB33" s="42"/>
      <c r="AC33" s="42"/>
      <c r="AD33" s="42"/>
      <c r="AE33" s="44"/>
      <c r="AF33" s="47">
        <f t="shared" si="1"/>
        <v>8</v>
      </c>
      <c r="AG33" s="48">
        <f t="shared" si="2"/>
        <v>0</v>
      </c>
    </row>
    <row r="34" spans="1:33" ht="14.4" thickBot="1">
      <c r="A34" s="38">
        <v>31</v>
      </c>
      <c r="B34" s="49" t="s">
        <v>38</v>
      </c>
      <c r="C34" s="50">
        <v>2436321257</v>
      </c>
      <c r="D34" s="82"/>
      <c r="E34" s="83"/>
      <c r="F34" s="83"/>
      <c r="G34" s="83"/>
      <c r="H34" s="84"/>
      <c r="I34" s="41"/>
      <c r="J34" s="42" t="s">
        <v>104</v>
      </c>
      <c r="K34" s="43" t="s">
        <v>104</v>
      </c>
      <c r="L34" s="43" t="s">
        <v>104</v>
      </c>
      <c r="M34" s="43" t="s">
        <v>104</v>
      </c>
      <c r="N34" s="43" t="s">
        <v>104</v>
      </c>
      <c r="O34" s="43" t="s">
        <v>104</v>
      </c>
      <c r="P34" s="41"/>
      <c r="Q34" s="43" t="s">
        <v>104</v>
      </c>
      <c r="R34" s="43" t="s">
        <v>104</v>
      </c>
      <c r="S34" s="43"/>
      <c r="T34" s="43"/>
      <c r="U34" s="43"/>
      <c r="V34" s="43"/>
      <c r="W34" s="43"/>
      <c r="X34" s="43"/>
      <c r="Y34" s="43"/>
      <c r="Z34" s="43"/>
      <c r="AA34" s="42"/>
      <c r="AB34" s="42"/>
      <c r="AC34" s="42"/>
      <c r="AD34" s="42"/>
      <c r="AE34" s="44"/>
      <c r="AF34" s="47">
        <f t="shared" si="1"/>
        <v>8</v>
      </c>
      <c r="AG34" s="48">
        <f t="shared" si="2"/>
        <v>0</v>
      </c>
    </row>
    <row r="35" spans="1:33" ht="14.4" thickBot="1">
      <c r="A35" s="38">
        <v>32</v>
      </c>
      <c r="B35" s="49" t="s">
        <v>39</v>
      </c>
      <c r="C35" s="50">
        <v>2198168771</v>
      </c>
      <c r="D35" s="82"/>
      <c r="E35" s="83"/>
      <c r="F35" s="83"/>
      <c r="G35" s="83"/>
      <c r="H35" s="84"/>
      <c r="I35" s="41"/>
      <c r="J35" s="42" t="s">
        <v>103</v>
      </c>
      <c r="K35" s="43" t="s">
        <v>104</v>
      </c>
      <c r="L35" s="43" t="s">
        <v>104</v>
      </c>
      <c r="M35" s="43" t="s">
        <v>104</v>
      </c>
      <c r="N35" s="43" t="s">
        <v>104</v>
      </c>
      <c r="O35" s="43" t="s">
        <v>104</v>
      </c>
      <c r="P35" s="41"/>
      <c r="Q35" s="43" t="s">
        <v>104</v>
      </c>
      <c r="R35" s="43" t="s">
        <v>103</v>
      </c>
      <c r="S35" s="43"/>
      <c r="T35" s="43"/>
      <c r="U35" s="43"/>
      <c r="V35" s="43"/>
      <c r="W35" s="43"/>
      <c r="X35" s="43"/>
      <c r="Y35" s="43"/>
      <c r="Z35" s="43"/>
      <c r="AA35" s="42"/>
      <c r="AB35" s="42"/>
      <c r="AC35" s="42"/>
      <c r="AD35" s="42"/>
      <c r="AE35" s="44"/>
      <c r="AF35" s="47">
        <f t="shared" si="1"/>
        <v>6</v>
      </c>
      <c r="AG35" s="48">
        <f t="shared" si="2"/>
        <v>2</v>
      </c>
    </row>
    <row r="36" spans="1:33" ht="14.4" thickBot="1">
      <c r="A36" s="38">
        <v>33</v>
      </c>
      <c r="B36" s="49" t="s">
        <v>40</v>
      </c>
      <c r="C36" s="50">
        <v>2477938647</v>
      </c>
      <c r="D36" s="82"/>
      <c r="E36" s="83"/>
      <c r="F36" s="83"/>
      <c r="G36" s="83"/>
      <c r="H36" s="84"/>
      <c r="I36" s="41"/>
      <c r="J36" s="42" t="s">
        <v>104</v>
      </c>
      <c r="K36" s="43" t="s">
        <v>104</v>
      </c>
      <c r="L36" s="43" t="s">
        <v>104</v>
      </c>
      <c r="M36" s="43" t="s">
        <v>104</v>
      </c>
      <c r="N36" s="43" t="s">
        <v>104</v>
      </c>
      <c r="O36" s="43" t="s">
        <v>104</v>
      </c>
      <c r="P36" s="41"/>
      <c r="Q36" s="43" t="s">
        <v>104</v>
      </c>
      <c r="R36" s="43" t="s">
        <v>104</v>
      </c>
      <c r="S36" s="43"/>
      <c r="T36" s="43"/>
      <c r="U36" s="43"/>
      <c r="V36" s="43"/>
      <c r="W36" s="43"/>
      <c r="X36" s="43"/>
      <c r="Y36" s="43"/>
      <c r="Z36" s="43"/>
      <c r="AA36" s="42"/>
      <c r="AB36" s="42"/>
      <c r="AC36" s="42"/>
      <c r="AD36" s="42"/>
      <c r="AE36" s="44"/>
      <c r="AF36" s="47">
        <f t="shared" si="1"/>
        <v>8</v>
      </c>
      <c r="AG36" s="48">
        <f t="shared" si="2"/>
        <v>0</v>
      </c>
    </row>
    <row r="37" spans="1:33" ht="14.4" thickBot="1">
      <c r="A37" s="38">
        <v>34</v>
      </c>
      <c r="B37" s="49" t="s">
        <v>43</v>
      </c>
      <c r="C37" s="50">
        <v>2413157971</v>
      </c>
      <c r="D37" s="82"/>
      <c r="E37" s="83"/>
      <c r="F37" s="83"/>
      <c r="G37" s="83"/>
      <c r="H37" s="84"/>
      <c r="I37" s="41"/>
      <c r="J37" s="42" t="s">
        <v>103</v>
      </c>
      <c r="K37" s="43" t="s">
        <v>104</v>
      </c>
      <c r="L37" s="43" t="s">
        <v>103</v>
      </c>
      <c r="M37" s="43" t="s">
        <v>104</v>
      </c>
      <c r="N37" s="43" t="s">
        <v>104</v>
      </c>
      <c r="O37" s="43" t="s">
        <v>104</v>
      </c>
      <c r="P37" s="41"/>
      <c r="Q37" s="43" t="s">
        <v>104</v>
      </c>
      <c r="R37" s="43" t="s">
        <v>103</v>
      </c>
      <c r="S37" s="43"/>
      <c r="T37" s="43"/>
      <c r="U37" s="43"/>
      <c r="V37" s="43"/>
      <c r="W37" s="43"/>
      <c r="X37" s="43"/>
      <c r="Y37" s="43"/>
      <c r="Z37" s="43"/>
      <c r="AA37" s="42"/>
      <c r="AB37" s="42"/>
      <c r="AC37" s="42"/>
      <c r="AD37" s="42"/>
      <c r="AE37" s="44"/>
      <c r="AF37" s="47">
        <f t="shared" si="1"/>
        <v>5</v>
      </c>
      <c r="AG37" s="48">
        <f t="shared" si="2"/>
        <v>3</v>
      </c>
    </row>
    <row r="38" spans="1:33" ht="14.4" thickBot="1">
      <c r="A38" s="38">
        <v>35</v>
      </c>
      <c r="B38" s="49" t="s">
        <v>44</v>
      </c>
      <c r="C38" s="50">
        <v>2558398422</v>
      </c>
      <c r="D38" s="82"/>
      <c r="E38" s="83"/>
      <c r="F38" s="83"/>
      <c r="G38" s="83"/>
      <c r="H38" s="84"/>
      <c r="I38" s="41"/>
      <c r="J38" s="42" t="s">
        <v>104</v>
      </c>
      <c r="K38" s="43" t="s">
        <v>103</v>
      </c>
      <c r="L38" s="43" t="s">
        <v>104</v>
      </c>
      <c r="M38" s="43" t="s">
        <v>104</v>
      </c>
      <c r="N38" s="43" t="s">
        <v>104</v>
      </c>
      <c r="O38" s="43" t="s">
        <v>104</v>
      </c>
      <c r="P38" s="41"/>
      <c r="Q38" s="43" t="s">
        <v>104</v>
      </c>
      <c r="R38" s="43" t="s">
        <v>103</v>
      </c>
      <c r="S38" s="43"/>
      <c r="T38" s="43"/>
      <c r="U38" s="43"/>
      <c r="V38" s="43"/>
      <c r="W38" s="43"/>
      <c r="X38" s="43"/>
      <c r="Y38" s="43"/>
      <c r="Z38" s="43"/>
      <c r="AA38" s="42"/>
      <c r="AB38" s="42"/>
      <c r="AC38" s="42"/>
      <c r="AD38" s="42"/>
      <c r="AE38" s="44"/>
      <c r="AF38" s="47">
        <f t="shared" si="1"/>
        <v>6</v>
      </c>
      <c r="AG38" s="48">
        <f t="shared" si="2"/>
        <v>2</v>
      </c>
    </row>
    <row r="39" spans="1:33" ht="14.4" thickBot="1">
      <c r="A39" s="38">
        <v>36</v>
      </c>
      <c r="B39" s="49" t="s">
        <v>45</v>
      </c>
      <c r="C39" s="50">
        <v>2494588201</v>
      </c>
      <c r="D39" s="82"/>
      <c r="E39" s="83"/>
      <c r="F39" s="83"/>
      <c r="G39" s="83"/>
      <c r="H39" s="84"/>
      <c r="I39" s="41"/>
      <c r="J39" s="42" t="s">
        <v>104</v>
      </c>
      <c r="K39" s="43" t="s">
        <v>104</v>
      </c>
      <c r="L39" s="43" t="s">
        <v>104</v>
      </c>
      <c r="M39" s="43" t="s">
        <v>103</v>
      </c>
      <c r="N39" s="43" t="s">
        <v>103</v>
      </c>
      <c r="O39" s="43" t="s">
        <v>104</v>
      </c>
      <c r="P39" s="41"/>
      <c r="Q39" s="43" t="s">
        <v>104</v>
      </c>
      <c r="R39" s="43" t="s">
        <v>104</v>
      </c>
      <c r="S39" s="43"/>
      <c r="T39" s="43"/>
      <c r="U39" s="43"/>
      <c r="V39" s="43"/>
      <c r="W39" s="43"/>
      <c r="X39" s="43"/>
      <c r="Y39" s="43"/>
      <c r="Z39" s="43"/>
      <c r="AA39" s="42"/>
      <c r="AB39" s="42"/>
      <c r="AC39" s="42"/>
      <c r="AD39" s="42"/>
      <c r="AE39" s="44"/>
      <c r="AF39" s="47">
        <f t="shared" si="1"/>
        <v>6</v>
      </c>
      <c r="AG39" s="48">
        <f t="shared" si="2"/>
        <v>2</v>
      </c>
    </row>
    <row r="40" spans="1:33" ht="14.4" thickBot="1">
      <c r="A40" s="38">
        <v>37</v>
      </c>
      <c r="B40" s="49" t="s">
        <v>46</v>
      </c>
      <c r="C40" s="50" t="s">
        <v>47</v>
      </c>
      <c r="D40" s="82"/>
      <c r="E40" s="83"/>
      <c r="F40" s="83"/>
      <c r="G40" s="83"/>
      <c r="H40" s="84"/>
      <c r="I40" s="41"/>
      <c r="J40" s="42" t="s">
        <v>104</v>
      </c>
      <c r="K40" s="43" t="s">
        <v>103</v>
      </c>
      <c r="L40" s="43" t="s">
        <v>104</v>
      </c>
      <c r="M40" s="43" t="s">
        <v>104</v>
      </c>
      <c r="N40" s="43" t="s">
        <v>104</v>
      </c>
      <c r="O40" s="43" t="s">
        <v>104</v>
      </c>
      <c r="P40" s="41"/>
      <c r="Q40" s="43" t="s">
        <v>104</v>
      </c>
      <c r="R40" s="43" t="s">
        <v>104</v>
      </c>
      <c r="S40" s="43"/>
      <c r="T40" s="43"/>
      <c r="U40" s="43"/>
      <c r="V40" s="43"/>
      <c r="W40" s="43"/>
      <c r="X40" s="43"/>
      <c r="Y40" s="43"/>
      <c r="Z40" s="43"/>
      <c r="AA40" s="42"/>
      <c r="AB40" s="42"/>
      <c r="AC40" s="42"/>
      <c r="AD40" s="42"/>
      <c r="AE40" s="44"/>
      <c r="AF40" s="47">
        <f t="shared" si="1"/>
        <v>7</v>
      </c>
      <c r="AG40" s="48">
        <f t="shared" si="2"/>
        <v>1</v>
      </c>
    </row>
    <row r="41" spans="1:33" ht="14.4" thickBot="1">
      <c r="A41" s="38">
        <v>38</v>
      </c>
      <c r="B41" s="49" t="s">
        <v>48</v>
      </c>
      <c r="C41" s="50">
        <v>2531452734</v>
      </c>
      <c r="D41" s="82"/>
      <c r="E41" s="83"/>
      <c r="F41" s="83"/>
      <c r="G41" s="83"/>
      <c r="H41" s="84"/>
      <c r="I41" s="41"/>
      <c r="J41" s="42" t="s">
        <v>104</v>
      </c>
      <c r="K41" s="43" t="s">
        <v>104</v>
      </c>
      <c r="L41" s="43" t="s">
        <v>104</v>
      </c>
      <c r="M41" s="43" t="s">
        <v>104</v>
      </c>
      <c r="N41" s="43" t="s">
        <v>104</v>
      </c>
      <c r="O41" s="43" t="s">
        <v>104</v>
      </c>
      <c r="P41" s="41"/>
      <c r="Q41" s="43" t="s">
        <v>104</v>
      </c>
      <c r="R41" s="43" t="s">
        <v>104</v>
      </c>
      <c r="S41" s="43"/>
      <c r="T41" s="43"/>
      <c r="U41" s="43"/>
      <c r="V41" s="43"/>
      <c r="W41" s="43"/>
      <c r="X41" s="43"/>
      <c r="Y41" s="43"/>
      <c r="Z41" s="43"/>
      <c r="AA41" s="42"/>
      <c r="AB41" s="42"/>
      <c r="AC41" s="42"/>
      <c r="AD41" s="42"/>
      <c r="AE41" s="44"/>
      <c r="AF41" s="47">
        <f t="shared" si="1"/>
        <v>8</v>
      </c>
      <c r="AG41" s="48">
        <f t="shared" si="2"/>
        <v>0</v>
      </c>
    </row>
    <row r="42" spans="1:33" ht="14.4" thickBot="1">
      <c r="A42" s="38">
        <v>39</v>
      </c>
      <c r="B42" s="49" t="s">
        <v>49</v>
      </c>
      <c r="C42" s="50">
        <v>2494626852</v>
      </c>
      <c r="D42" s="82"/>
      <c r="E42" s="83"/>
      <c r="F42" s="83"/>
      <c r="G42" s="83"/>
      <c r="H42" s="84"/>
      <c r="I42" s="41"/>
      <c r="J42" s="42" t="s">
        <v>104</v>
      </c>
      <c r="K42" s="43" t="s">
        <v>103</v>
      </c>
      <c r="L42" s="43" t="s">
        <v>103</v>
      </c>
      <c r="M42" s="43" t="s">
        <v>104</v>
      </c>
      <c r="N42" s="43" t="s">
        <v>104</v>
      </c>
      <c r="O42" s="43" t="s">
        <v>104</v>
      </c>
      <c r="P42" s="41"/>
      <c r="Q42" s="43" t="s">
        <v>104</v>
      </c>
      <c r="R42" s="43" t="s">
        <v>104</v>
      </c>
      <c r="S42" s="43"/>
      <c r="T42" s="43"/>
      <c r="U42" s="43"/>
      <c r="V42" s="43"/>
      <c r="W42" s="43"/>
      <c r="X42" s="43"/>
      <c r="Y42" s="43"/>
      <c r="Z42" s="43"/>
      <c r="AA42" s="42"/>
      <c r="AB42" s="42"/>
      <c r="AC42" s="42"/>
      <c r="AD42" s="42"/>
      <c r="AE42" s="44"/>
      <c r="AF42" s="47">
        <f t="shared" si="1"/>
        <v>6</v>
      </c>
      <c r="AG42" s="48">
        <f t="shared" si="2"/>
        <v>2</v>
      </c>
    </row>
    <row r="43" spans="1:33" ht="14.4" thickBot="1">
      <c r="A43" s="38">
        <v>40</v>
      </c>
      <c r="B43" s="49" t="s">
        <v>50</v>
      </c>
      <c r="C43" s="50">
        <v>2476765793</v>
      </c>
      <c r="D43" s="82"/>
      <c r="E43" s="83"/>
      <c r="F43" s="83"/>
      <c r="G43" s="83"/>
      <c r="H43" s="84"/>
      <c r="I43" s="41"/>
      <c r="J43" s="42" t="s">
        <v>104</v>
      </c>
      <c r="K43" s="43" t="s">
        <v>104</v>
      </c>
      <c r="L43" s="43" t="s">
        <v>104</v>
      </c>
      <c r="M43" s="43" t="s">
        <v>103</v>
      </c>
      <c r="N43" s="43" t="s">
        <v>104</v>
      </c>
      <c r="O43" s="43" t="s">
        <v>104</v>
      </c>
      <c r="P43" s="41"/>
      <c r="Q43" s="43" t="s">
        <v>104</v>
      </c>
      <c r="R43" s="43" t="s">
        <v>104</v>
      </c>
      <c r="S43" s="43"/>
      <c r="T43" s="43"/>
      <c r="U43" s="43"/>
      <c r="V43" s="43"/>
      <c r="W43" s="43"/>
      <c r="X43" s="43"/>
      <c r="Y43" s="43"/>
      <c r="Z43" s="43"/>
      <c r="AA43" s="42"/>
      <c r="AB43" s="42"/>
      <c r="AC43" s="42"/>
      <c r="AD43" s="42"/>
      <c r="AE43" s="44"/>
      <c r="AF43" s="47">
        <f t="shared" si="1"/>
        <v>7</v>
      </c>
      <c r="AG43" s="48">
        <f t="shared" si="2"/>
        <v>1</v>
      </c>
    </row>
    <row r="44" spans="1:33" ht="14.4" thickBot="1">
      <c r="A44" s="38">
        <v>41</v>
      </c>
      <c r="B44" s="49" t="s">
        <v>51</v>
      </c>
      <c r="C44" s="50">
        <v>2625602244</v>
      </c>
      <c r="D44" s="82"/>
      <c r="E44" s="83"/>
      <c r="F44" s="83"/>
      <c r="G44" s="83"/>
      <c r="H44" s="84"/>
      <c r="I44" s="41"/>
      <c r="J44" s="42" t="s">
        <v>104</v>
      </c>
      <c r="K44" s="43" t="s">
        <v>104</v>
      </c>
      <c r="L44" s="43" t="s">
        <v>104</v>
      </c>
      <c r="M44" s="43" t="s">
        <v>104</v>
      </c>
      <c r="N44" s="43" t="s">
        <v>104</v>
      </c>
      <c r="O44" s="43" t="s">
        <v>104</v>
      </c>
      <c r="P44" s="41"/>
      <c r="Q44" s="43" t="s">
        <v>103</v>
      </c>
      <c r="R44" s="43" t="s">
        <v>103</v>
      </c>
      <c r="S44" s="43"/>
      <c r="T44" s="43"/>
      <c r="U44" s="43"/>
      <c r="V44" s="43"/>
      <c r="W44" s="43"/>
      <c r="X44" s="43"/>
      <c r="Y44" s="43"/>
      <c r="Z44" s="43"/>
      <c r="AA44" s="42"/>
      <c r="AB44" s="42"/>
      <c r="AC44" s="42"/>
      <c r="AD44" s="42"/>
      <c r="AE44" s="44"/>
      <c r="AF44" s="47">
        <f t="shared" si="1"/>
        <v>6</v>
      </c>
      <c r="AG44" s="48">
        <f t="shared" si="2"/>
        <v>2</v>
      </c>
    </row>
    <row r="45" spans="1:33" ht="14.4" thickBot="1">
      <c r="A45" s="38">
        <v>42</v>
      </c>
      <c r="B45" s="49" t="s">
        <v>52</v>
      </c>
      <c r="C45" s="50">
        <v>2616103483</v>
      </c>
      <c r="D45" s="82"/>
      <c r="E45" s="83"/>
      <c r="F45" s="83"/>
      <c r="G45" s="83"/>
      <c r="H45" s="84"/>
      <c r="I45" s="41"/>
      <c r="J45" s="42" t="s">
        <v>103</v>
      </c>
      <c r="K45" s="43" t="s">
        <v>104</v>
      </c>
      <c r="L45" s="43" t="s">
        <v>104</v>
      </c>
      <c r="M45" s="43" t="s">
        <v>104</v>
      </c>
      <c r="N45" s="43" t="s">
        <v>104</v>
      </c>
      <c r="O45" s="43" t="s">
        <v>104</v>
      </c>
      <c r="P45" s="41"/>
      <c r="Q45" s="43" t="s">
        <v>104</v>
      </c>
      <c r="R45" s="43" t="s">
        <v>104</v>
      </c>
      <c r="S45" s="43"/>
      <c r="T45" s="43"/>
      <c r="U45" s="43"/>
      <c r="V45" s="43"/>
      <c r="W45" s="43"/>
      <c r="X45" s="43"/>
      <c r="Y45" s="43"/>
      <c r="Z45" s="43"/>
      <c r="AA45" s="42"/>
      <c r="AB45" s="42"/>
      <c r="AC45" s="42"/>
      <c r="AD45" s="42"/>
      <c r="AE45" s="44"/>
      <c r="AF45" s="47">
        <f t="shared" si="1"/>
        <v>7</v>
      </c>
      <c r="AG45" s="48">
        <f t="shared" si="2"/>
        <v>1</v>
      </c>
    </row>
    <row r="46" spans="1:33" ht="14.4" thickBot="1">
      <c r="A46" s="38">
        <v>43</v>
      </c>
      <c r="B46" s="49" t="s">
        <v>55</v>
      </c>
      <c r="C46" s="50" t="s">
        <v>54</v>
      </c>
      <c r="D46" s="82"/>
      <c r="E46" s="83"/>
      <c r="F46" s="83"/>
      <c r="G46" s="83"/>
      <c r="H46" s="84"/>
      <c r="I46" s="41"/>
      <c r="J46" s="42" t="s">
        <v>103</v>
      </c>
      <c r="K46" s="43" t="s">
        <v>104</v>
      </c>
      <c r="L46" s="43" t="s">
        <v>104</v>
      </c>
      <c r="M46" s="43" t="s">
        <v>104</v>
      </c>
      <c r="N46" s="43" t="s">
        <v>104</v>
      </c>
      <c r="O46" s="43" t="s">
        <v>104</v>
      </c>
      <c r="P46" s="41"/>
      <c r="Q46" s="43" t="s">
        <v>104</v>
      </c>
      <c r="R46" s="43" t="s">
        <v>104</v>
      </c>
      <c r="S46" s="43"/>
      <c r="T46" s="43"/>
      <c r="U46" s="43"/>
      <c r="V46" s="43"/>
      <c r="W46" s="43"/>
      <c r="X46" s="43"/>
      <c r="Y46" s="43"/>
      <c r="Z46" s="43"/>
      <c r="AA46" s="42"/>
      <c r="AB46" s="42"/>
      <c r="AC46" s="42"/>
      <c r="AD46" s="42"/>
      <c r="AE46" s="44"/>
      <c r="AF46" s="47">
        <f t="shared" si="1"/>
        <v>7</v>
      </c>
      <c r="AG46" s="48">
        <f t="shared" si="2"/>
        <v>1</v>
      </c>
    </row>
    <row r="47" spans="1:33" ht="14.4" thickBot="1">
      <c r="A47" s="38">
        <v>44</v>
      </c>
      <c r="B47" s="49" t="s">
        <v>21</v>
      </c>
      <c r="C47" s="50">
        <v>2537676427</v>
      </c>
      <c r="D47" s="82"/>
      <c r="E47" s="83"/>
      <c r="F47" s="83"/>
      <c r="G47" s="83"/>
      <c r="H47" s="84"/>
      <c r="I47" s="41"/>
      <c r="J47" s="42" t="s">
        <v>104</v>
      </c>
      <c r="K47" s="43" t="s">
        <v>104</v>
      </c>
      <c r="L47" s="43" t="s">
        <v>103</v>
      </c>
      <c r="M47" s="43" t="s">
        <v>104</v>
      </c>
      <c r="N47" s="43" t="s">
        <v>104</v>
      </c>
      <c r="O47" s="43" t="s">
        <v>104</v>
      </c>
      <c r="P47" s="41"/>
      <c r="Q47" s="43" t="s">
        <v>104</v>
      </c>
      <c r="R47" s="43" t="s">
        <v>103</v>
      </c>
      <c r="S47" s="43"/>
      <c r="T47" s="43"/>
      <c r="U47" s="43"/>
      <c r="V47" s="43"/>
      <c r="W47" s="43"/>
      <c r="X47" s="43"/>
      <c r="Y47" s="43"/>
      <c r="Z47" s="43"/>
      <c r="AA47" s="42"/>
      <c r="AB47" s="42"/>
      <c r="AC47" s="42"/>
      <c r="AD47" s="42"/>
      <c r="AE47" s="44"/>
      <c r="AF47" s="51">
        <f t="shared" si="1"/>
        <v>6</v>
      </c>
      <c r="AG47" s="52">
        <f t="shared" si="2"/>
        <v>2</v>
      </c>
    </row>
    <row r="48" spans="1:33" ht="14.4" thickBot="1">
      <c r="A48" s="38">
        <v>45</v>
      </c>
      <c r="B48" s="49" t="s">
        <v>106</v>
      </c>
      <c r="C48" s="50">
        <v>2465500615</v>
      </c>
      <c r="D48" s="82"/>
      <c r="E48" s="83"/>
      <c r="F48" s="83"/>
      <c r="G48" s="83"/>
      <c r="H48" s="83"/>
      <c r="I48" s="83"/>
      <c r="J48" s="83"/>
      <c r="K48" s="83"/>
      <c r="L48" s="84"/>
      <c r="M48" s="43" t="s">
        <v>104</v>
      </c>
      <c r="N48" s="43" t="s">
        <v>104</v>
      </c>
      <c r="O48" s="43" t="s">
        <v>104</v>
      </c>
      <c r="P48" s="41"/>
      <c r="Q48" s="43" t="s">
        <v>104</v>
      </c>
      <c r="R48" s="43" t="s">
        <v>103</v>
      </c>
      <c r="S48" s="43"/>
      <c r="T48" s="43"/>
      <c r="U48" s="43"/>
      <c r="V48" s="43"/>
      <c r="W48" s="43"/>
      <c r="X48" s="43"/>
      <c r="Y48" s="43"/>
      <c r="Z48" s="43"/>
      <c r="AA48" s="42"/>
      <c r="AB48" s="42"/>
      <c r="AC48" s="42"/>
      <c r="AD48" s="42"/>
      <c r="AE48" s="44"/>
      <c r="AF48" s="51">
        <f t="shared" si="1"/>
        <v>4</v>
      </c>
      <c r="AG48" s="52">
        <f t="shared" si="2"/>
        <v>1</v>
      </c>
    </row>
    <row r="49" spans="1:42" ht="14.4" thickBot="1">
      <c r="A49" s="38">
        <v>46</v>
      </c>
      <c r="B49" s="49" t="s">
        <v>107</v>
      </c>
      <c r="C49" s="50">
        <v>2441349350</v>
      </c>
      <c r="D49" s="85"/>
      <c r="E49" s="86"/>
      <c r="F49" s="86"/>
      <c r="G49" s="86"/>
      <c r="H49" s="86"/>
      <c r="I49" s="86"/>
      <c r="J49" s="86"/>
      <c r="K49" s="86"/>
      <c r="L49" s="87"/>
      <c r="M49" s="43" t="s">
        <v>104</v>
      </c>
      <c r="N49" s="43" t="s">
        <v>104</v>
      </c>
      <c r="O49" s="43" t="s">
        <v>104</v>
      </c>
      <c r="P49" s="41"/>
      <c r="Q49" s="43" t="s">
        <v>104</v>
      </c>
      <c r="R49" s="43" t="s">
        <v>103</v>
      </c>
      <c r="S49" s="43"/>
      <c r="T49" s="43"/>
      <c r="U49" s="43"/>
      <c r="V49" s="43"/>
      <c r="W49" s="43"/>
      <c r="X49" s="43"/>
      <c r="Y49" s="43"/>
      <c r="Z49" s="43"/>
      <c r="AA49" s="42"/>
      <c r="AB49" s="42"/>
      <c r="AC49" s="42"/>
      <c r="AD49" s="42"/>
      <c r="AE49" s="44"/>
      <c r="AF49" s="51">
        <f t="shared" si="1"/>
        <v>4</v>
      </c>
      <c r="AG49" s="52">
        <f t="shared" si="2"/>
        <v>1</v>
      </c>
    </row>
    <row r="50" spans="1:42" ht="16.8" thickBot="1">
      <c r="J50" s="33">
        <f>COUNTIF(J4:J47,"p")</f>
        <v>36</v>
      </c>
      <c r="K50" s="33">
        <f t="shared" ref="K50:R50" si="3">COUNTIF(K4:K47,"p")</f>
        <v>39</v>
      </c>
      <c r="L50" s="33">
        <f t="shared" si="3"/>
        <v>37</v>
      </c>
      <c r="M50" s="33">
        <f>COUNTIF(M4:M49,"p")</f>
        <v>39</v>
      </c>
      <c r="N50" s="33">
        <f t="shared" ref="N50:R50" si="4">COUNTIF(N4:N49,"p")</f>
        <v>45</v>
      </c>
      <c r="O50" s="33">
        <f t="shared" si="4"/>
        <v>45</v>
      </c>
      <c r="P50" s="33">
        <f t="shared" si="4"/>
        <v>0</v>
      </c>
      <c r="Q50" s="33">
        <f t="shared" si="4"/>
        <v>41</v>
      </c>
      <c r="R50" s="33">
        <f t="shared" si="4"/>
        <v>34</v>
      </c>
      <c r="AJ50" s="54"/>
      <c r="AK50" s="55"/>
      <c r="AL50" s="55"/>
      <c r="AM50" s="55"/>
      <c r="AN50" s="55"/>
      <c r="AO50" s="55"/>
      <c r="AP50" s="55"/>
    </row>
    <row r="51" spans="1:42" ht="34.799999999999997">
      <c r="J51" s="34">
        <v>46060</v>
      </c>
      <c r="K51" s="34">
        <v>46061</v>
      </c>
      <c r="L51" s="34">
        <v>46062</v>
      </c>
      <c r="M51" s="34">
        <v>46063</v>
      </c>
      <c r="N51" s="34">
        <v>46064</v>
      </c>
      <c r="O51" s="34">
        <v>46065</v>
      </c>
      <c r="P51" s="34">
        <v>46066</v>
      </c>
      <c r="Q51" s="34">
        <v>46067</v>
      </c>
      <c r="R51" s="34">
        <v>46068</v>
      </c>
      <c r="AJ51" s="54"/>
      <c r="AK51" s="55"/>
      <c r="AL51" s="55"/>
      <c r="AM51" s="55"/>
      <c r="AN51" s="55"/>
      <c r="AO51" s="55"/>
      <c r="AP51" s="55"/>
    </row>
    <row r="52" spans="1:42">
      <c r="AJ52" s="55"/>
    </row>
  </sheetData>
  <mergeCells count="8">
    <mergeCell ref="A2:A3"/>
    <mergeCell ref="B2:B3"/>
    <mergeCell ref="C2:C3"/>
    <mergeCell ref="AF2:AF3"/>
    <mergeCell ref="AG2:AG3"/>
    <mergeCell ref="D4:H47"/>
    <mergeCell ref="D48:L49"/>
    <mergeCell ref="B1:AG1"/>
  </mergeCells>
  <conditionalFormatting sqref="B4:B10">
    <cfRule type="duplicateValues" dxfId="12" priority="11"/>
  </conditionalFormatting>
  <conditionalFormatting sqref="C1:C47 C50:C1048576">
    <cfRule type="duplicateValues" dxfId="11" priority="10"/>
  </conditionalFormatting>
  <conditionalFormatting sqref="A2:A3">
    <cfRule type="duplicateValues" dxfId="10" priority="9"/>
  </conditionalFormatting>
  <conditionalFormatting sqref="K4:K47">
    <cfRule type="containsText" dxfId="9" priority="8" operator="containsText" text="A">
      <formula>NOT(ISERROR(SEARCH("A",K4)))</formula>
    </cfRule>
  </conditionalFormatting>
  <conditionalFormatting sqref="D4 P48:P49 I4:AF47">
    <cfRule type="containsText" dxfId="8" priority="7" operator="containsText" text="A">
      <formula>NOT(ISERROR(SEARCH("A",D4)))</formula>
    </cfRule>
  </conditionalFormatting>
  <conditionalFormatting sqref="C48">
    <cfRule type="duplicateValues" dxfId="7" priority="5"/>
  </conditionalFormatting>
  <conditionalFormatting sqref="B48">
    <cfRule type="duplicateValues" dxfId="6" priority="6"/>
  </conditionalFormatting>
  <conditionalFormatting sqref="M48:O48 Q48:AF48">
    <cfRule type="containsText" dxfId="5" priority="4" operator="containsText" text="A">
      <formula>NOT(ISERROR(SEARCH("A",M48)))</formula>
    </cfRule>
  </conditionalFormatting>
  <conditionalFormatting sqref="C49">
    <cfRule type="duplicateValues" dxfId="4" priority="2"/>
  </conditionalFormatting>
  <conditionalFormatting sqref="B49">
    <cfRule type="duplicateValues" dxfId="3" priority="3"/>
  </conditionalFormatting>
  <conditionalFormatting sqref="M49:O49 Q49:AF49">
    <cfRule type="containsText" dxfId="2" priority="1" operator="containsText" text="A">
      <formula>NOT(ISERROR(SEARCH("A",M49)))</formula>
    </cfRule>
  </conditionalFormatting>
  <conditionalFormatting sqref="B50:B1048576 B1:B3">
    <cfRule type="duplicateValues" dxfId="1" priority="12"/>
  </conditionalFormatting>
  <conditionalFormatting sqref="B11:B47">
    <cfRule type="duplicateValues" dxfId="0" priority="13"/>
  </conditionalFormatting>
  <pageMargins left="0.7" right="0.7" top="0.75" bottom="0.75" header="0.3" footer="0.3"/>
  <pageSetup scale="6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Abu Yusuf</vt:lpstr>
      <vt:lpstr>Sheet1</vt:lpstr>
      <vt:lpstr>Sheet2</vt:lpstr>
      <vt:lpstr>'Abu Yusuf'!Print_Area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2026-03-10T08:44:28Z</cp:lastPrinted>
  <dcterms:created xsi:type="dcterms:W3CDTF">2026-02-05T07:10:56Z</dcterms:created>
  <dcterms:modified xsi:type="dcterms:W3CDTF">2026-03-10T08:48:06Z</dcterms:modified>
</cp:coreProperties>
</file>