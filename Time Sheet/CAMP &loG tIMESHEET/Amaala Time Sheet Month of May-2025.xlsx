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Time Sheet\CAMP &amp;loG tIMESHEET\"/>
    </mc:Choice>
  </mc:AlternateContent>
  <xr:revisionPtr revIDLastSave="0" documentId="13_ncr:1_{7293F3D2-08F7-4FE7-AFF3-E03B3F07CDB7}" xr6:coauthVersionLast="47" xr6:coauthVersionMax="47" xr10:uidLastSave="{00000000-0000-0000-0000-000000000000}"/>
  <bookViews>
    <workbookView xWindow="28680" yWindow="-120" windowWidth="29040" windowHeight="15720" activeTab="3" xr2:uid="{4FE74655-E13A-495D-AA61-DA38A188CDF6}"/>
  </bookViews>
  <sheets>
    <sheet name="BUS DRIVER" sheetId="5" r:id="rId1"/>
    <sheet name="Amala Time Sheet" sheetId="3" r:id="rId2"/>
    <sheet name="Camp" sheetId="1" r:id="rId3"/>
    <sheet name="Camp (3)" sheetId="7" r:id="rId4"/>
    <sheet name="Camp (2)" sheetId="6" r:id="rId5"/>
  </sheets>
  <definedNames>
    <definedName name="_xlnm._FilterDatabase" localSheetId="1" hidden="1">'Amala Time Sheet'!$B$2:$D$4</definedName>
    <definedName name="_xlnm._FilterDatabase" localSheetId="0" hidden="1">'BUS DRIVER'!$B$2:$D$4</definedName>
    <definedName name="_xlnm._FilterDatabase" localSheetId="2" hidden="1">Camp!$A$2:$AJ$3</definedName>
    <definedName name="_xlnm._FilterDatabase" localSheetId="4" hidden="1">'Camp (2)'!$A$2:$AF$3</definedName>
    <definedName name="_xlnm._FilterDatabase" localSheetId="3" hidden="1">'Camp (3)'!$A$2:$AI$3</definedName>
    <definedName name="_xlnm.Print_Area" localSheetId="1">'Amala Time Sheet'!$B$1:$AH$16</definedName>
    <definedName name="_xlnm.Print_Area" localSheetId="0">'BUS DRIVER'!$B$1:$AK$16</definedName>
    <definedName name="_xlnm.Print_Area" localSheetId="2">Camp!$A$1:$AJ$18</definedName>
    <definedName name="_xlnm.Print_Area" localSheetId="4">'Camp (2)'!$A$1:$AF$29</definedName>
    <definedName name="_xlnm.Print_Area" localSheetId="3">'Camp (3)'!$A$1:$AI$27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4" i="7" l="1"/>
  <c r="AI5" i="7"/>
  <c r="AI6" i="7"/>
  <c r="AI7" i="7"/>
  <c r="AI8" i="7"/>
  <c r="AI9" i="7"/>
  <c r="AI10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B5" i="5"/>
  <c r="AB6" i="5"/>
  <c r="AB7" i="5"/>
  <c r="AB4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I5" i="1"/>
  <c r="AI6" i="1"/>
  <c r="AI4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D3" i="7"/>
  <c r="AF5" i="6"/>
  <c r="AF6" i="6"/>
  <c r="AF7" i="6"/>
  <c r="AF8" i="6"/>
  <c r="AF9" i="6"/>
  <c r="AF10" i="6"/>
  <c r="AF11" i="6"/>
  <c r="AF12" i="6"/>
  <c r="AF13" i="6"/>
  <c r="AF4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I3" i="6"/>
  <c r="H3" i="6"/>
  <c r="G3" i="6"/>
  <c r="F3" i="6"/>
  <c r="E3" i="6"/>
  <c r="D3" i="6"/>
  <c r="AG8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AG7" i="3"/>
  <c r="AG5" i="3"/>
  <c r="AG6" i="3"/>
  <c r="AG4" i="3"/>
  <c r="D3" i="1" l="1"/>
</calcChain>
</file>

<file path=xl/sharedStrings.xml><?xml version="1.0" encoding="utf-8"?>
<sst xmlns="http://schemas.openxmlformats.org/spreadsheetml/2006/main" count="278" uniqueCount="42">
  <si>
    <t>Emp ID</t>
  </si>
  <si>
    <t xml:space="preserve">Employee Name </t>
  </si>
  <si>
    <t>Total OT</t>
  </si>
  <si>
    <t>Position</t>
  </si>
  <si>
    <t>Legend:  P- Present,   A- Absent,    U- Unpaid Leave,     H-Holiday,       S-Sick Leave,     L- Annual Leave</t>
  </si>
  <si>
    <t>Project Manager</t>
  </si>
  <si>
    <t>Days Present</t>
  </si>
  <si>
    <t>MD ISRAIL HOSEN</t>
  </si>
  <si>
    <t>MOHAMMAD DAPHALI</t>
  </si>
  <si>
    <t>SAURAV HASAN</t>
  </si>
  <si>
    <t>MD SOHEL</t>
  </si>
  <si>
    <t>Janitor</t>
  </si>
  <si>
    <t>Helper</t>
  </si>
  <si>
    <t xml:space="preserve">SAROJ KUMAR </t>
  </si>
  <si>
    <t>S.N</t>
  </si>
  <si>
    <t>Employee Id</t>
  </si>
  <si>
    <t>Employee Name</t>
  </si>
  <si>
    <t xml:space="preserve">Days Present </t>
  </si>
  <si>
    <t>Logistics Coordinator</t>
  </si>
  <si>
    <t>Salem Badr</t>
  </si>
  <si>
    <t>Mohamed El Ashkar</t>
  </si>
  <si>
    <t>Taha Ahmed</t>
  </si>
  <si>
    <t>Driver</t>
  </si>
  <si>
    <t>Basheer Ahmad</t>
  </si>
  <si>
    <t>Jumir Khan</t>
  </si>
  <si>
    <t>Runner</t>
  </si>
  <si>
    <t>L</t>
  </si>
  <si>
    <t>Amaala Project Attendance Sheet Month of MAR-2026</t>
  </si>
  <si>
    <t>P</t>
  </si>
  <si>
    <t>Amaala Project Attendance Sheet Month of MARCH</t>
  </si>
  <si>
    <t>AFZAL KHAN</t>
  </si>
  <si>
    <t>BILAL KHAN</t>
  </si>
  <si>
    <t>BUS DRIVER</t>
  </si>
  <si>
    <t>MUHAMMAD ALI</t>
  </si>
  <si>
    <t xml:space="preserve">TUFAIL KHAN </t>
  </si>
  <si>
    <t>H</t>
  </si>
  <si>
    <t>Taha</t>
  </si>
  <si>
    <t xml:space="preserve">Logistics </t>
  </si>
  <si>
    <t>Amaala Project Attendance Sheet Month of APRIL</t>
  </si>
  <si>
    <t>MUHAMMAD TAHA</t>
  </si>
  <si>
    <t>Salem Bader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</si>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</sst>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5"/>
      <color theme="1"/>
      <name val="Arial"/>
      <family val="2"/>
    </font>
    <font>
      <sz val="8"/>
      <name val="Calibri"/>
      <family val="2"/>
      <scheme val="minor"/>
    </font>
    <font>
      <sz val="12"/>
      <color rgb="FF000000"/>
      <name val="Calibri"/>
      <family val="1"/>
    </font>
    <font>
      <b/>
      <sz val="12"/>
      <color rgb="FF000000"/>
      <name val="Calibri"/>
      <family val="2"/>
    </font>
    <font>
      <sz val="14"/>
      <color theme="1"/>
      <name val="Bahnschrift SemiBold"/>
      <family val="2"/>
    </font>
    <font>
      <b/>
      <u/>
      <sz val="16"/>
      <color theme="1"/>
      <name val="Arial"/>
      <family val="2"/>
    </font>
    <font>
      <b/>
      <sz val="14"/>
      <color theme="0"/>
      <name val="Calibri"/>
      <family val="2"/>
    </font>
    <font>
      <b/>
      <sz val="12"/>
      <color theme="1"/>
      <name val="Arial"/>
      <family val="2"/>
    </font>
    <font>
      <u/>
      <sz val="14"/>
      <color theme="1"/>
      <name val="Arial Black"/>
      <family val="2"/>
    </font>
    <font>
      <u/>
      <sz val="12"/>
      <color theme="1"/>
      <name val="Arial Black"/>
      <family val="2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227AC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/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0" fillId="0" borderId="0" xfId="0" applyFont="1" applyAlignment="1"/>
    <xf numFmtId="164" fontId="0" fillId="0" borderId="0" xfId="0" applyNumberFormat="1"/>
    <xf numFmtId="164" fontId="13" fillId="0" borderId="0" xfId="0" applyNumberFormat="1" applyFont="1" applyAlignment="1"/>
    <xf numFmtId="0" fontId="0" fillId="0" borderId="0" xfId="0" applyAlignment="1"/>
    <xf numFmtId="0" fontId="0" fillId="0" borderId="0" xfId="0" applyAlignment="1">
      <alignment vertical="center"/>
    </xf>
    <xf numFmtId="164" fontId="13" fillId="0" borderId="0" xfId="0" applyNumberFormat="1" applyFont="1" applyAlignment="1">
      <alignment vertical="center"/>
    </xf>
    <xf numFmtId="164" fontId="3" fillId="5" borderId="1" xfId="0" applyNumberFormat="1" applyFont="1" applyFill="1" applyBorder="1" applyAlignment="1">
      <alignment horizontal="center" textRotation="90" wrapText="1"/>
    </xf>
    <xf numFmtId="0" fontId="12" fillId="0" borderId="1" xfId="0" applyFont="1" applyFill="1" applyBorder="1" applyAlignment="1">
      <alignment horizontal="center" vertical="center"/>
    </xf>
    <xf numFmtId="0" fontId="15" fillId="0" borderId="1" xfId="0" applyFont="1" applyBorder="1"/>
    <xf numFmtId="0" fontId="10" fillId="0" borderId="0" xfId="0" applyFont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0" fillId="0" borderId="10" xfId="0" applyBorder="1"/>
    <xf numFmtId="0" fontId="9" fillId="0" borderId="14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164" fontId="3" fillId="5" borderId="17" xfId="0" applyNumberFormat="1" applyFont="1" applyFill="1" applyBorder="1" applyAlignment="1">
      <alignment horizontal="center" vertical="center"/>
    </xf>
    <xf numFmtId="0" fontId="15" fillId="0" borderId="18" xfId="0" applyFont="1" applyBorder="1"/>
    <xf numFmtId="0" fontId="12" fillId="0" borderId="11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15" fillId="0" borderId="0" xfId="0" applyFont="1" applyBorder="1"/>
    <xf numFmtId="0" fontId="15" fillId="0" borderId="20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0" fillId="0" borderId="17" xfId="0" applyBorder="1"/>
    <xf numFmtId="0" fontId="15" fillId="0" borderId="23" xfId="0" applyFont="1" applyBorder="1"/>
    <xf numFmtId="0" fontId="15" fillId="0" borderId="24" xfId="0" applyFont="1" applyFill="1" applyBorder="1" applyAlignment="1">
      <alignment horizontal="center" vertical="center"/>
    </xf>
    <xf numFmtId="0" fontId="15" fillId="0" borderId="25" xfId="0" applyFont="1" applyFill="1" applyBorder="1" applyAlignment="1">
      <alignment horizontal="center" vertical="center"/>
    </xf>
    <xf numFmtId="0" fontId="15" fillId="0" borderId="26" xfId="0" applyFont="1" applyBorder="1"/>
    <xf numFmtId="0" fontId="15" fillId="0" borderId="27" xfId="0" applyFont="1" applyFill="1" applyBorder="1" applyAlignment="1">
      <alignment horizontal="center" vertical="center"/>
    </xf>
    <xf numFmtId="164" fontId="3" fillId="5" borderId="11" xfId="0" applyNumberFormat="1" applyFont="1" applyFill="1" applyBorder="1" applyAlignment="1">
      <alignment horizontal="center" textRotation="90" wrapText="1"/>
    </xf>
    <xf numFmtId="164" fontId="3" fillId="7" borderId="11" xfId="0" applyNumberFormat="1" applyFont="1" applyFill="1" applyBorder="1" applyAlignment="1">
      <alignment horizontal="center" textRotation="90" wrapText="1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164" fontId="13" fillId="0" borderId="0" xfId="0" applyNumberFormat="1" applyFont="1" applyAlignment="1">
      <alignment vertical="top"/>
    </xf>
    <xf numFmtId="164" fontId="3" fillId="8" borderId="1" xfId="0" applyNumberFormat="1" applyFont="1" applyFill="1" applyBorder="1" applyAlignment="1">
      <alignment horizontal="center" vertical="center"/>
    </xf>
    <xf numFmtId="164" fontId="3" fillId="8" borderId="11" xfId="0" applyNumberFormat="1" applyFont="1" applyFill="1" applyBorder="1" applyAlignment="1">
      <alignment horizontal="center" textRotation="90" wrapText="1"/>
    </xf>
    <xf numFmtId="164" fontId="3" fillId="8" borderId="17" xfId="0" applyNumberFormat="1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15" fillId="0" borderId="29" xfId="0" applyFont="1" applyBorder="1"/>
    <xf numFmtId="0" fontId="9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textRotation="90" wrapText="1"/>
    </xf>
    <xf numFmtId="0" fontId="12" fillId="0" borderId="1" xfId="0" applyFont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vertical="center"/>
    </xf>
    <xf numFmtId="0" fontId="12" fillId="11" borderId="1" xfId="0" applyFont="1" applyFill="1" applyBorder="1" applyAlignment="1">
      <alignment horizontal="center" vertical="center"/>
    </xf>
    <xf numFmtId="0" fontId="8" fillId="6" borderId="8" xfId="1" applyFont="1" applyFill="1" applyBorder="1" applyAlignment="1">
      <alignment horizontal="center" vertical="center"/>
    </xf>
    <xf numFmtId="0" fontId="8" fillId="6" borderId="9" xfId="1" applyFont="1" applyFill="1" applyBorder="1" applyAlignment="1">
      <alignment horizontal="center" vertical="center"/>
    </xf>
    <xf numFmtId="164" fontId="14" fillId="0" borderId="0" xfId="0" applyNumberFormat="1" applyFont="1" applyAlignment="1">
      <alignment horizontal="center" vertical="top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wrapText="1" shrinkToFit="1"/>
    </xf>
    <xf numFmtId="14" fontId="1" fillId="8" borderId="1" xfId="0" applyNumberFormat="1" applyFont="1" applyFill="1" applyBorder="1" applyAlignment="1">
      <alignment horizontal="center" textRotation="90"/>
    </xf>
    <xf numFmtId="0" fontId="1" fillId="9" borderId="1" xfId="0" applyFont="1" applyFill="1" applyBorder="1" applyAlignment="1">
      <alignment horizontal="center" textRotation="90"/>
    </xf>
    <xf numFmtId="0" fontId="11" fillId="2" borderId="10" xfId="0" applyFont="1" applyFill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shrinkToFit="1"/>
    </xf>
    <xf numFmtId="0" fontId="11" fillId="2" borderId="22" xfId="0" applyFont="1" applyFill="1" applyBorder="1" applyAlignment="1">
      <alignment horizontal="center" vertical="center" shrinkToFit="1"/>
    </xf>
    <xf numFmtId="0" fontId="11" fillId="2" borderId="20" xfId="0" applyFont="1" applyFill="1" applyBorder="1" applyAlignment="1">
      <alignment horizontal="center" vertical="center" wrapText="1" shrinkToFit="1"/>
    </xf>
    <xf numFmtId="0" fontId="11" fillId="2" borderId="19" xfId="0" applyFont="1" applyFill="1" applyBorder="1" applyAlignment="1">
      <alignment horizontal="center" vertical="center" wrapText="1" shrinkToFit="1"/>
    </xf>
    <xf numFmtId="0" fontId="11" fillId="2" borderId="11" xfId="0" applyFont="1" applyFill="1" applyBorder="1" applyAlignment="1">
      <alignment horizontal="center" vertical="center" shrinkToFit="1"/>
    </xf>
    <xf numFmtId="0" fontId="11" fillId="2" borderId="17" xfId="0" applyFont="1" applyFill="1" applyBorder="1" applyAlignment="1">
      <alignment horizontal="center" vertical="center" shrinkToFit="1"/>
    </xf>
    <xf numFmtId="14" fontId="1" fillId="8" borderId="11" xfId="0" applyNumberFormat="1" applyFont="1" applyFill="1" applyBorder="1" applyAlignment="1">
      <alignment horizontal="center" textRotation="90"/>
    </xf>
    <xf numFmtId="14" fontId="1" fillId="8" borderId="17" xfId="0" applyNumberFormat="1" applyFont="1" applyFill="1" applyBorder="1" applyAlignment="1">
      <alignment horizontal="center" textRotation="90"/>
    </xf>
    <xf numFmtId="0" fontId="1" fillId="9" borderId="12" xfId="0" applyFont="1" applyFill="1" applyBorder="1" applyAlignment="1">
      <alignment horizontal="center" textRotation="90"/>
    </xf>
    <xf numFmtId="0" fontId="1" fillId="9" borderId="22" xfId="0" applyFont="1" applyFill="1" applyBorder="1" applyAlignment="1">
      <alignment horizontal="center" textRotation="90"/>
    </xf>
    <xf numFmtId="164" fontId="13" fillId="0" borderId="0" xfId="0" applyNumberFormat="1" applyFont="1" applyAlignment="1">
      <alignment horizontal="center" vertical="top"/>
    </xf>
    <xf numFmtId="0" fontId="8" fillId="6" borderId="3" xfId="1" applyFont="1" applyFill="1" applyBorder="1" applyAlignment="1">
      <alignment horizontal="center" vertical="center"/>
    </xf>
    <xf numFmtId="0" fontId="8" fillId="6" borderId="4" xfId="1" applyFont="1" applyFill="1" applyBorder="1" applyAlignment="1">
      <alignment horizontal="center" vertical="center"/>
    </xf>
    <xf numFmtId="0" fontId="8" fillId="6" borderId="5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 shrinkToFit="1"/>
    </xf>
    <xf numFmtId="14" fontId="1" fillId="3" borderId="11" xfId="0" applyNumberFormat="1" applyFont="1" applyFill="1" applyBorder="1" applyAlignment="1">
      <alignment horizontal="center" textRotation="90"/>
    </xf>
    <xf numFmtId="14" fontId="1" fillId="3" borderId="1" xfId="0" applyNumberFormat="1" applyFont="1" applyFill="1" applyBorder="1" applyAlignment="1">
      <alignment horizontal="center" textRotation="90"/>
    </xf>
    <xf numFmtId="0" fontId="1" fillId="9" borderId="14" xfId="0" applyFont="1" applyFill="1" applyBorder="1" applyAlignment="1">
      <alignment horizontal="center" textRotation="90"/>
    </xf>
    <xf numFmtId="0" fontId="5" fillId="0" borderId="3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2" fillId="10" borderId="31" xfId="0" applyFont="1" applyFill="1" applyBorder="1" applyAlignment="1">
      <alignment horizontal="center" vertical="center"/>
    </xf>
    <xf numFmtId="0" fontId="12" fillId="10" borderId="32" xfId="0" applyFont="1" applyFill="1" applyBorder="1" applyAlignment="1">
      <alignment horizontal="center" vertical="center"/>
    </xf>
    <xf numFmtId="0" fontId="12" fillId="10" borderId="33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12" fillId="10" borderId="34" xfId="0" applyFont="1" applyFill="1" applyBorder="1" applyAlignment="1">
      <alignment horizontal="center" vertical="center"/>
    </xf>
    <xf numFmtId="0" fontId="12" fillId="10" borderId="35" xfId="0" applyFont="1" applyFill="1" applyBorder="1" applyAlignment="1">
      <alignment horizontal="center" vertical="center"/>
    </xf>
    <xf numFmtId="14" fontId="1" fillId="3" borderId="17" xfId="0" applyNumberFormat="1" applyFont="1" applyFill="1" applyBorder="1" applyAlignment="1">
      <alignment horizontal="center" textRotation="90"/>
    </xf>
    <xf numFmtId="0" fontId="12" fillId="11" borderId="31" xfId="0" applyFont="1" applyFill="1" applyBorder="1" applyAlignment="1">
      <alignment horizontal="center" vertical="center"/>
    </xf>
    <xf numFmtId="0" fontId="12" fillId="11" borderId="32" xfId="0" applyFont="1" applyFill="1" applyBorder="1" applyAlignment="1">
      <alignment horizontal="center" vertical="center"/>
    </xf>
    <xf numFmtId="0" fontId="12" fillId="11" borderId="19" xfId="0" applyFont="1" applyFill="1" applyBorder="1" applyAlignment="1">
      <alignment horizontal="center" vertical="center"/>
    </xf>
    <xf numFmtId="0" fontId="12" fillId="11" borderId="33" xfId="0" applyFont="1" applyFill="1" applyBorder="1" applyAlignment="1">
      <alignment horizontal="center" vertical="center"/>
    </xf>
    <xf numFmtId="0" fontId="12" fillId="11" borderId="0" xfId="0" applyFont="1" applyFill="1" applyBorder="1" applyAlignment="1">
      <alignment horizontal="center" vertical="center"/>
    </xf>
    <xf numFmtId="0" fontId="12" fillId="11" borderId="37" xfId="0" applyFont="1" applyFill="1" applyBorder="1" applyAlignment="1">
      <alignment horizontal="center" vertical="center"/>
    </xf>
    <xf numFmtId="0" fontId="3" fillId="0" borderId="0" xfId="0" applyFont="1" applyAlignment="1"/>
  </cellXfs>
  <cellStyles count="2">
    <cellStyle name="Normal" xfId="0" builtinId="0"/>
    <cellStyle name="Normal 2" xfId="1" xr:uid="{50D35575-5156-47A9-B3F3-40674B6EC11C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FF"/>
        </patternFill>
      </fill>
    </dxf>
    <dxf>
      <fill>
        <patternFill>
          <bgColor rgb="FFFFCCCC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theme="5"/>
        </patternFill>
      </fill>
    </dxf>
    <dxf>
      <fill>
        <patternFill>
          <bgColor rgb="FF33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CC"/>
      <color rgb="FFFF9933"/>
      <color rgb="FFFFCCFF"/>
      <color rgb="FFFF99FF"/>
      <color rgb="FFFF3399"/>
      <color rgb="FFFFFFFF"/>
      <color rgb="FFFFFF00"/>
      <color rgb="FFFFCC66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209274</xdr:colOff>
      <xdr:row>0</xdr:row>
      <xdr:rowOff>23587</xdr:rowOff>
    </xdr:from>
    <xdr:to>
      <xdr:col>1</xdr:col>
      <xdr:colOff>1333028</xdr:colOff>
      <xdr:row>0</xdr:row>
      <xdr:rowOff>408397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3F1759-5402-46E3-9E31-A34AF9B60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74" y="23587"/>
          <a:ext cx="1447800" cy="390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161926</xdr:colOff>
      <xdr:row>0</xdr:row>
      <xdr:rowOff>43816</xdr:rowOff>
    </xdr:from>
    <xdr:to>
      <xdr:col>34</xdr:col>
      <xdr:colOff>201931</xdr:colOff>
      <xdr:row>0</xdr:row>
      <xdr:rowOff>459105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7CA03-CB43-42AC-BA81-14088B9B8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2431" y="45721"/>
          <a:ext cx="1341120" cy="409574"/>
        </a:xfrm>
        <a:prstGeom prst="rect">
          <a:avLst/>
        </a:prstGeom>
      </xdr:spPr>
    </xdr:pic>
    <xdr:clientData/>
  </xdr:twoCellAnchor>
  <xdr:twoCellAnchor editAs="oneCell">
    <xdr:from>
      <xdr:col>1</xdr:col>
      <xdr:colOff>87630</xdr:colOff>
      <xdr:row>0</xdr:row>
      <xdr:rowOff>64770</xdr:rowOff>
    </xdr:from>
    <xdr:to>
      <xdr:col>1</xdr:col>
      <xdr:colOff>1539240</xdr:colOff>
      <xdr:row>0</xdr:row>
      <xdr:rowOff>453390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151924-445E-4169-8CAE-448CA0786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" y="64770"/>
          <a:ext cx="1451610" cy="3924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161926</xdr:colOff>
      <xdr:row>0</xdr:row>
      <xdr:rowOff>43816</xdr:rowOff>
    </xdr:from>
    <xdr:to>
      <xdr:col>33</xdr:col>
      <xdr:colOff>135256</xdr:colOff>
      <xdr:row>0</xdr:row>
      <xdr:rowOff>455295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A8D4B7-B96B-4A5A-A749-62D5B8346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876" y="43816"/>
          <a:ext cx="1344930" cy="411479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</xdr:colOff>
      <xdr:row>0</xdr:row>
      <xdr:rowOff>51435</xdr:rowOff>
    </xdr:from>
    <xdr:to>
      <xdr:col>1</xdr:col>
      <xdr:colOff>897255</xdr:colOff>
      <xdr:row>0</xdr:row>
      <xdr:rowOff>434340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0B361B-855F-44C8-A99A-55620E6A9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" y="51435"/>
          <a:ext cx="1461135" cy="390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47625</xdr:colOff>
      <xdr:row>0</xdr:row>
      <xdr:rowOff>112396</xdr:rowOff>
    </xdr:from>
    <xdr:to>
      <xdr:col>34</xdr:col>
      <xdr:colOff>207645</xdr:colOff>
      <xdr:row>0</xdr:row>
      <xdr:rowOff>512445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3CB9C7-4696-45B8-BE3D-A4E322406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112396"/>
          <a:ext cx="1312545" cy="409574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</xdr:colOff>
      <xdr:row>0</xdr:row>
      <xdr:rowOff>51435</xdr:rowOff>
    </xdr:from>
    <xdr:to>
      <xdr:col>1</xdr:col>
      <xdr:colOff>893445</xdr:colOff>
      <xdr:row>0</xdr:row>
      <xdr:rowOff>434340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6F3F23-08EC-4E8F-BB3C-8844B4C76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55245"/>
          <a:ext cx="1457325" cy="379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161926</xdr:colOff>
      <xdr:row>0</xdr:row>
      <xdr:rowOff>43816</xdr:rowOff>
    </xdr:from>
    <xdr:to>
      <xdr:col>32</xdr:col>
      <xdr:colOff>249556</xdr:colOff>
      <xdr:row>0</xdr:row>
      <xdr:rowOff>455295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D66DC8-DF45-4AC1-8422-689C0E0E7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9406" y="45721"/>
          <a:ext cx="1331595" cy="409574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</xdr:colOff>
      <xdr:row>0</xdr:row>
      <xdr:rowOff>51435</xdr:rowOff>
    </xdr:from>
    <xdr:to>
      <xdr:col>1</xdr:col>
      <xdr:colOff>893445</xdr:colOff>
      <xdr:row>0</xdr:row>
      <xdr:rowOff>438150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C2992F-416E-44EF-A723-AC11BB0F8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55245"/>
          <a:ext cx="1464945" cy="382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975C-00C9-4263-A374-B46DB476A7BF}">
  <sheetPr>
    <pageSetUpPr fitToPage="1"/>
  </sheetPr>
  <dimension ref="A1:AU35"/>
  <sheetViews>
    <sheetView zoomScale="97" zoomScaleNormal="100" workbookViewId="0">
      <selection activeCell="C7" sqref="C7"/>
    </sheetView>
  </sheetViews>
  <sheetFormatPr defaultRowHeight="14.4" x14ac:dyDescent="0.3"/>
  <cols>
    <col min="1" max="1" width="4.6640625" bestFit="1" customWidth="1"/>
    <col min="2" max="2" width="23.77734375" bestFit="1" customWidth="1"/>
    <col min="3" max="3" width="19.21875" style="1" bestFit="1" customWidth="1"/>
    <col min="4" max="4" width="22.109375" bestFit="1" customWidth="1"/>
    <col min="5" max="5" width="5.109375" bestFit="1" customWidth="1"/>
    <col min="6" max="6" width="4.77734375" bestFit="1" customWidth="1"/>
    <col min="7" max="7" width="5" bestFit="1" customWidth="1"/>
    <col min="8" max="8" width="4.33203125" bestFit="1" customWidth="1"/>
    <col min="9" max="9" width="3.6640625" bestFit="1" customWidth="1"/>
    <col min="10" max="10" width="3.77734375" bestFit="1" customWidth="1"/>
    <col min="11" max="11" width="4.33203125" bestFit="1" customWidth="1"/>
    <col min="12" max="12" width="5.109375" bestFit="1" customWidth="1"/>
    <col min="13" max="13" width="4.21875" bestFit="1" customWidth="1"/>
    <col min="14" max="14" width="5" bestFit="1" customWidth="1"/>
    <col min="15" max="15" width="4.33203125" bestFit="1" customWidth="1"/>
    <col min="16" max="16" width="3.6640625" bestFit="1" customWidth="1"/>
    <col min="17" max="17" width="3.77734375" bestFit="1" customWidth="1"/>
    <col min="18" max="18" width="4.33203125" bestFit="1" customWidth="1"/>
    <col min="19" max="19" width="5.109375" bestFit="1" customWidth="1"/>
    <col min="20" max="20" width="4.21875" bestFit="1" customWidth="1"/>
    <col min="21" max="21" width="5" bestFit="1" customWidth="1"/>
    <col min="22" max="22" width="4.33203125" bestFit="1" customWidth="1"/>
    <col min="23" max="23" width="3.6640625" bestFit="1" customWidth="1"/>
    <col min="24" max="24" width="3.77734375" bestFit="1" customWidth="1"/>
    <col min="25" max="25" width="4.33203125" bestFit="1" customWidth="1"/>
    <col min="26" max="26" width="5.109375" bestFit="1" customWidth="1"/>
    <col min="27" max="27" width="4.21875" bestFit="1" customWidth="1"/>
    <col min="28" max="28" width="5" bestFit="1" customWidth="1"/>
    <col min="29" max="29" width="4.33203125" bestFit="1" customWidth="1"/>
    <col min="30" max="30" width="3.6640625" bestFit="1" customWidth="1"/>
    <col min="31" max="31" width="3.77734375" bestFit="1" customWidth="1"/>
    <col min="32" max="32" width="4.33203125" bestFit="1" customWidth="1"/>
    <col min="33" max="35" width="4.33203125" customWidth="1"/>
    <col min="36" max="36" width="3.6640625" bestFit="1" customWidth="1"/>
    <col min="37" max="37" width="4.21875" bestFit="1" customWidth="1"/>
  </cols>
  <sheetData>
    <row r="1" spans="1:37" ht="36" customHeight="1" x14ac:dyDescent="0.3">
      <c r="A1" s="23"/>
      <c r="B1" s="67" t="s">
        <v>27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8"/>
    </row>
    <row r="2" spans="1:37" ht="38.4" x14ac:dyDescent="0.3">
      <c r="A2" s="69" t="s">
        <v>14</v>
      </c>
      <c r="B2" s="70" t="s">
        <v>16</v>
      </c>
      <c r="C2" s="71" t="s">
        <v>15</v>
      </c>
      <c r="D2" s="70" t="s">
        <v>3</v>
      </c>
      <c r="E2" s="16">
        <v>46105</v>
      </c>
      <c r="F2" s="16">
        <v>46106</v>
      </c>
      <c r="G2" s="16">
        <v>46107</v>
      </c>
      <c r="H2" s="16">
        <v>46108</v>
      </c>
      <c r="I2" s="16">
        <v>46109</v>
      </c>
      <c r="J2" s="16">
        <v>46110</v>
      </c>
      <c r="K2" s="16">
        <v>46111</v>
      </c>
      <c r="L2" s="16">
        <v>46112</v>
      </c>
      <c r="M2" s="16">
        <v>46113</v>
      </c>
      <c r="N2" s="16">
        <v>46114</v>
      </c>
      <c r="O2" s="16">
        <v>46115</v>
      </c>
      <c r="P2" s="16">
        <v>46116</v>
      </c>
      <c r="Q2" s="16">
        <v>46117</v>
      </c>
      <c r="R2" s="16">
        <v>46118</v>
      </c>
      <c r="S2" s="16">
        <v>46119</v>
      </c>
      <c r="T2" s="16">
        <v>46120</v>
      </c>
      <c r="U2" s="16">
        <v>46121</v>
      </c>
      <c r="V2" s="16">
        <v>46122</v>
      </c>
      <c r="W2" s="16">
        <v>46123</v>
      </c>
      <c r="X2" s="16">
        <v>46124</v>
      </c>
      <c r="Y2" s="16">
        <v>46125</v>
      </c>
      <c r="Z2" s="16">
        <v>46126</v>
      </c>
      <c r="AA2" s="16">
        <v>46127</v>
      </c>
      <c r="AB2" s="72" t="s">
        <v>2</v>
      </c>
      <c r="AC2" s="73" t="s">
        <v>6</v>
      </c>
    </row>
    <row r="3" spans="1:37" ht="26.4" customHeight="1" x14ac:dyDescent="0.3">
      <c r="A3" s="69"/>
      <c r="B3" s="70"/>
      <c r="C3" s="71"/>
      <c r="D3" s="70"/>
      <c r="E3" s="6" t="str">
        <f t="shared" ref="E3:AA3" si="0">TEXT(E2,"ddd")</f>
        <v>Tue</v>
      </c>
      <c r="F3" s="6" t="str">
        <f t="shared" si="0"/>
        <v>Wed</v>
      </c>
      <c r="G3" s="6" t="str">
        <f t="shared" si="0"/>
        <v>Thu</v>
      </c>
      <c r="H3" s="6" t="str">
        <f t="shared" si="0"/>
        <v>Fri</v>
      </c>
      <c r="I3" s="6" t="str">
        <f t="shared" si="0"/>
        <v>Sat</v>
      </c>
      <c r="J3" s="6" t="str">
        <f t="shared" si="0"/>
        <v>Sun</v>
      </c>
      <c r="K3" s="6" t="str">
        <f t="shared" si="0"/>
        <v>Mon</v>
      </c>
      <c r="L3" s="6" t="str">
        <f t="shared" si="0"/>
        <v>Tue</v>
      </c>
      <c r="M3" s="6" t="str">
        <f t="shared" si="0"/>
        <v>Wed</v>
      </c>
      <c r="N3" s="6" t="str">
        <f t="shared" si="0"/>
        <v>Thu</v>
      </c>
      <c r="O3" s="6" t="str">
        <f t="shared" si="0"/>
        <v>Fri</v>
      </c>
      <c r="P3" s="6" t="str">
        <f t="shared" si="0"/>
        <v>Sat</v>
      </c>
      <c r="Q3" s="6" t="str">
        <f t="shared" si="0"/>
        <v>Sun</v>
      </c>
      <c r="R3" s="6" t="str">
        <f t="shared" si="0"/>
        <v>Mon</v>
      </c>
      <c r="S3" s="6" t="str">
        <f t="shared" si="0"/>
        <v>Tue</v>
      </c>
      <c r="T3" s="6" t="str">
        <f t="shared" si="0"/>
        <v>Wed</v>
      </c>
      <c r="U3" s="6" t="str">
        <f t="shared" si="0"/>
        <v>Thu</v>
      </c>
      <c r="V3" s="6" t="str">
        <f t="shared" si="0"/>
        <v>Fri</v>
      </c>
      <c r="W3" s="6" t="str">
        <f t="shared" si="0"/>
        <v>Sat</v>
      </c>
      <c r="X3" s="6" t="str">
        <f t="shared" si="0"/>
        <v>Sun</v>
      </c>
      <c r="Y3" s="6" t="str">
        <f t="shared" si="0"/>
        <v>Mon</v>
      </c>
      <c r="Z3" s="6" t="str">
        <f t="shared" si="0"/>
        <v>Tue</v>
      </c>
      <c r="AA3" s="6" t="str">
        <f t="shared" si="0"/>
        <v>Wed</v>
      </c>
      <c r="AB3" s="72"/>
      <c r="AC3" s="73"/>
    </row>
    <row r="4" spans="1:37" ht="25.2" customHeight="1" x14ac:dyDescent="0.3">
      <c r="A4" s="18">
        <v>1</v>
      </c>
      <c r="B4" s="20" t="s">
        <v>30</v>
      </c>
      <c r="C4" s="21">
        <v>2843</v>
      </c>
      <c r="D4" s="18" t="s">
        <v>32</v>
      </c>
      <c r="E4" s="17">
        <v>1</v>
      </c>
      <c r="F4" s="17">
        <v>1</v>
      </c>
      <c r="G4" s="17">
        <v>1</v>
      </c>
      <c r="H4" s="22">
        <v>8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22"/>
      <c r="P4" s="17">
        <v>1</v>
      </c>
      <c r="Q4" s="17">
        <v>1</v>
      </c>
      <c r="R4" s="17">
        <v>1</v>
      </c>
      <c r="S4" s="17">
        <v>1</v>
      </c>
      <c r="T4" s="17">
        <v>1</v>
      </c>
      <c r="U4" s="17">
        <v>1</v>
      </c>
      <c r="V4" s="22"/>
      <c r="W4" s="17">
        <v>1</v>
      </c>
      <c r="X4" s="17">
        <v>1</v>
      </c>
      <c r="Y4" s="17">
        <v>1</v>
      </c>
      <c r="Z4" s="17">
        <v>1</v>
      </c>
      <c r="AA4" s="17">
        <v>1</v>
      </c>
      <c r="AB4" s="17">
        <f>SUM(E4:AA4)</f>
        <v>28</v>
      </c>
      <c r="AC4" s="57"/>
    </row>
    <row r="5" spans="1:37" ht="25.2" customHeight="1" x14ac:dyDescent="0.3">
      <c r="A5" s="18">
        <v>2</v>
      </c>
      <c r="B5" s="20" t="s">
        <v>34</v>
      </c>
      <c r="C5" s="21">
        <v>3850</v>
      </c>
      <c r="D5" s="18" t="s">
        <v>32</v>
      </c>
      <c r="E5" s="17">
        <v>1</v>
      </c>
      <c r="F5" s="17">
        <v>1</v>
      </c>
      <c r="G5" s="17">
        <v>1</v>
      </c>
      <c r="H5" s="22"/>
      <c r="I5" s="17">
        <v>1</v>
      </c>
      <c r="J5" s="17">
        <v>1</v>
      </c>
      <c r="K5" s="17">
        <v>1</v>
      </c>
      <c r="L5" s="17">
        <v>1</v>
      </c>
      <c r="M5" s="17">
        <v>1</v>
      </c>
      <c r="N5" s="17">
        <v>1</v>
      </c>
      <c r="O5" s="22"/>
      <c r="P5" s="17">
        <v>1</v>
      </c>
      <c r="Q5" s="17">
        <v>1</v>
      </c>
      <c r="R5" s="17">
        <v>1</v>
      </c>
      <c r="S5" s="17">
        <v>1</v>
      </c>
      <c r="T5" s="17">
        <v>1</v>
      </c>
      <c r="U5" s="17">
        <v>1</v>
      </c>
      <c r="V5" s="22"/>
      <c r="W5" s="17">
        <v>1</v>
      </c>
      <c r="X5" s="17">
        <v>1</v>
      </c>
      <c r="Y5" s="17">
        <v>1</v>
      </c>
      <c r="Z5" s="17">
        <v>1</v>
      </c>
      <c r="AA5" s="17">
        <v>1</v>
      </c>
      <c r="AB5" s="17">
        <f>SUM(E5:AA5)</f>
        <v>20</v>
      </c>
      <c r="AC5" s="57">
        <v>26</v>
      </c>
    </row>
    <row r="6" spans="1:37" ht="25.2" customHeight="1" thickBot="1" x14ac:dyDescent="0.35">
      <c r="A6" s="18">
        <v>3</v>
      </c>
      <c r="B6" s="20" t="s">
        <v>39</v>
      </c>
      <c r="C6" s="21">
        <v>4897</v>
      </c>
      <c r="D6" s="18" t="s">
        <v>32</v>
      </c>
      <c r="E6" s="17">
        <v>1</v>
      </c>
      <c r="F6" s="17">
        <v>1</v>
      </c>
      <c r="G6" s="17">
        <v>1</v>
      </c>
      <c r="H6" s="22"/>
      <c r="I6" s="17">
        <v>1</v>
      </c>
      <c r="J6" s="17">
        <v>1</v>
      </c>
      <c r="K6" s="17">
        <v>1</v>
      </c>
      <c r="L6" s="17">
        <v>1</v>
      </c>
      <c r="M6" s="17">
        <v>4</v>
      </c>
      <c r="N6" s="17">
        <v>1</v>
      </c>
      <c r="O6" s="22">
        <v>8</v>
      </c>
      <c r="P6" s="17">
        <v>1</v>
      </c>
      <c r="Q6" s="17">
        <v>1</v>
      </c>
      <c r="R6" s="17">
        <v>1</v>
      </c>
      <c r="S6" s="17">
        <v>1</v>
      </c>
      <c r="T6" s="17">
        <v>1</v>
      </c>
      <c r="U6" s="17">
        <v>1</v>
      </c>
      <c r="V6" s="22"/>
      <c r="W6" s="17">
        <v>1</v>
      </c>
      <c r="X6" s="17">
        <v>1</v>
      </c>
      <c r="Y6" s="17">
        <v>1</v>
      </c>
      <c r="Z6" s="17">
        <v>1</v>
      </c>
      <c r="AA6" s="17">
        <v>1</v>
      </c>
      <c r="AB6" s="17">
        <f>SUM(E6:AA6)</f>
        <v>31</v>
      </c>
      <c r="AC6" s="57">
        <v>26</v>
      </c>
    </row>
    <row r="7" spans="1:37" ht="25.2" customHeight="1" x14ac:dyDescent="0.3">
      <c r="A7" s="18">
        <v>4</v>
      </c>
      <c r="B7" s="20" t="s">
        <v>40</v>
      </c>
      <c r="C7" s="21">
        <v>2694</v>
      </c>
      <c r="D7" s="31" t="s">
        <v>18</v>
      </c>
      <c r="E7" s="17">
        <v>1</v>
      </c>
      <c r="F7" s="17">
        <v>1</v>
      </c>
      <c r="G7" s="17">
        <v>1</v>
      </c>
      <c r="H7" s="22"/>
      <c r="I7" s="17">
        <v>1</v>
      </c>
      <c r="J7" s="17">
        <v>1</v>
      </c>
      <c r="K7" s="17">
        <v>1</v>
      </c>
      <c r="L7" s="17">
        <v>1</v>
      </c>
      <c r="M7" s="17">
        <v>1</v>
      </c>
      <c r="N7" s="17">
        <v>1</v>
      </c>
      <c r="O7" s="22"/>
      <c r="P7" s="17">
        <v>1</v>
      </c>
      <c r="Q7" s="17">
        <v>1</v>
      </c>
      <c r="R7" s="17">
        <v>1</v>
      </c>
      <c r="S7" s="17">
        <v>1</v>
      </c>
      <c r="T7" s="17">
        <v>1</v>
      </c>
      <c r="U7" s="17">
        <v>1</v>
      </c>
      <c r="V7" s="22"/>
      <c r="W7" s="17">
        <v>1</v>
      </c>
      <c r="X7" s="17">
        <v>1</v>
      </c>
      <c r="Y7" s="17">
        <v>1</v>
      </c>
      <c r="Z7" s="17">
        <v>1</v>
      </c>
      <c r="AA7" s="17">
        <v>1</v>
      </c>
      <c r="AB7" s="17">
        <f>SUM(E7:AA7)</f>
        <v>20</v>
      </c>
      <c r="AC7" s="57">
        <v>26</v>
      </c>
      <c r="AD7" s="58"/>
    </row>
    <row r="8" spans="1:37" ht="25.2" customHeight="1" thickBot="1" x14ac:dyDescent="0.35">
      <c r="A8" s="56"/>
    </row>
    <row r="9" spans="1:37" ht="25.2" customHeight="1" x14ac:dyDescent="0.3">
      <c r="G9" s="64" t="s">
        <v>4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</row>
    <row r="10" spans="1:37" ht="25.2" customHeight="1" x14ac:dyDescent="0.3">
      <c r="D10" s="13"/>
      <c r="K10" s="14"/>
      <c r="L10" s="14"/>
      <c r="M10" s="14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spans="1:37" ht="25.2" customHeight="1" x14ac:dyDescent="0.5">
      <c r="D11" s="13"/>
      <c r="E11" s="14"/>
      <c r="F11" s="14"/>
      <c r="G11" s="15"/>
      <c r="H11" s="15"/>
      <c r="I11" s="15"/>
      <c r="J11" s="15"/>
      <c r="K11" s="15"/>
      <c r="L11" s="15"/>
      <c r="M11" s="15"/>
      <c r="N11" s="15"/>
      <c r="O11" s="66" t="s">
        <v>5</v>
      </c>
      <c r="P11" s="66"/>
      <c r="Q11" s="66"/>
      <c r="R11" s="66"/>
      <c r="S11" s="66"/>
      <c r="T11" s="66"/>
      <c r="U11" s="66"/>
      <c r="X11" s="12"/>
      <c r="Y11" s="12"/>
    </row>
    <row r="12" spans="1:37" ht="25.2" customHeight="1" x14ac:dyDescent="0.5">
      <c r="D12" s="13"/>
      <c r="E12" s="14"/>
      <c r="F12" s="14"/>
      <c r="G12" s="15"/>
      <c r="H12" s="15"/>
      <c r="I12" s="15"/>
      <c r="J12" s="15"/>
      <c r="K12" s="15"/>
      <c r="L12" s="15"/>
      <c r="M12" s="15"/>
      <c r="N12" s="15"/>
      <c r="O12" s="66"/>
      <c r="P12" s="66"/>
      <c r="Q12" s="66"/>
      <c r="R12" s="66"/>
      <c r="S12" s="66"/>
      <c r="T12" s="66"/>
      <c r="U12" s="66"/>
      <c r="X12" s="12"/>
      <c r="Y12" s="12"/>
    </row>
    <row r="13" spans="1:37" ht="25.2" customHeight="1" x14ac:dyDescent="0.4">
      <c r="C13" s="19"/>
      <c r="D13" s="10"/>
      <c r="E13" s="14"/>
      <c r="M13" s="15"/>
      <c r="N13" s="15"/>
      <c r="O13" s="66"/>
      <c r="P13" s="66"/>
      <c r="Q13" s="66"/>
      <c r="R13" s="66"/>
      <c r="S13" s="66"/>
      <c r="T13" s="66"/>
      <c r="U13" s="66"/>
    </row>
    <row r="14" spans="1:37" ht="25.2" customHeight="1" x14ac:dyDescent="0.3"/>
    <row r="15" spans="1:37" ht="25.2" customHeight="1" x14ac:dyDescent="0.3"/>
    <row r="16" spans="1:37" ht="25.2" customHeight="1" x14ac:dyDescent="0.3"/>
    <row r="17" spans="38:47" ht="25.2" customHeight="1" x14ac:dyDescent="0.3"/>
    <row r="18" spans="38:47" ht="25.2" customHeight="1" x14ac:dyDescent="0.3"/>
    <row r="19" spans="38:47" ht="25.2" customHeight="1" x14ac:dyDescent="0.3"/>
    <row r="20" spans="38:47" ht="19.2" customHeight="1" x14ac:dyDescent="0.5">
      <c r="AL20" s="12"/>
    </row>
    <row r="21" spans="38:47" ht="19.2" customHeight="1" x14ac:dyDescent="0.5">
      <c r="AL21" s="12"/>
    </row>
    <row r="22" spans="38:47" ht="19.2" customHeight="1" x14ac:dyDescent="0.5">
      <c r="AL22" s="12"/>
    </row>
    <row r="23" spans="38:47" ht="14.4" customHeight="1" x14ac:dyDescent="0.5">
      <c r="AL23" s="12"/>
      <c r="AM23" s="12"/>
      <c r="AN23" s="12"/>
      <c r="AO23" s="12"/>
      <c r="AP23" s="11"/>
      <c r="AQ23" s="11"/>
      <c r="AR23" s="11"/>
      <c r="AS23" s="11"/>
      <c r="AT23" s="11"/>
      <c r="AU23" s="11"/>
    </row>
    <row r="24" spans="38:47" ht="14.4" customHeight="1" x14ac:dyDescent="0.5">
      <c r="AL24" s="12"/>
      <c r="AM24" s="12"/>
      <c r="AN24" s="12"/>
      <c r="AO24" s="12"/>
      <c r="AP24" s="11"/>
      <c r="AQ24" s="11"/>
      <c r="AR24" s="11"/>
      <c r="AS24" s="11"/>
      <c r="AT24" s="11"/>
      <c r="AU24" s="11"/>
    </row>
    <row r="25" spans="38:47" ht="14.4" customHeight="1" x14ac:dyDescent="0.5">
      <c r="AL25" s="7"/>
      <c r="AM25" s="12"/>
      <c r="AN25" s="12"/>
      <c r="AO25" s="12"/>
      <c r="AP25" s="11"/>
      <c r="AQ25" s="11"/>
      <c r="AR25" s="11"/>
      <c r="AS25" s="11"/>
      <c r="AT25" s="11"/>
      <c r="AU25" s="11"/>
    </row>
    <row r="26" spans="38:47" ht="14.4" customHeight="1" x14ac:dyDescent="0.5">
      <c r="AM26" s="12"/>
      <c r="AN26" s="12"/>
      <c r="AO26" s="12"/>
      <c r="AP26" s="11"/>
      <c r="AQ26" s="11"/>
      <c r="AR26" s="11"/>
      <c r="AS26" s="11"/>
      <c r="AT26" s="11"/>
      <c r="AU26" s="11"/>
    </row>
    <row r="27" spans="38:47" ht="14.4" customHeight="1" x14ac:dyDescent="0.5">
      <c r="AM27" s="12"/>
      <c r="AN27" s="12"/>
      <c r="AO27" s="12"/>
      <c r="AP27" s="11"/>
      <c r="AQ27" s="11"/>
      <c r="AR27" s="11"/>
      <c r="AS27" s="11"/>
      <c r="AT27" s="11"/>
      <c r="AU27" s="11"/>
    </row>
    <row r="28" spans="38:47" ht="19.2" customHeight="1" x14ac:dyDescent="0.3">
      <c r="AM28" s="7"/>
      <c r="AN28" s="7"/>
      <c r="AO28" s="7"/>
    </row>
    <row r="29" spans="38:47" ht="19.2" customHeight="1" x14ac:dyDescent="0.3"/>
    <row r="30" spans="38:47" ht="19.2" customHeight="1" x14ac:dyDescent="0.3"/>
    <row r="31" spans="38:47" ht="19.2" customHeight="1" x14ac:dyDescent="0.3"/>
    <row r="32" spans="38:47" ht="19.2" customHeight="1" x14ac:dyDescent="0.3"/>
    <row r="33" ht="19.2" customHeight="1" x14ac:dyDescent="0.3"/>
    <row r="34" ht="19.2" customHeight="1" x14ac:dyDescent="0.3"/>
    <row r="35" ht="19.2" customHeight="1" x14ac:dyDescent="0.3"/>
  </sheetData>
  <autoFilter ref="B2:D4" xr:uid="{80F953BA-2032-4135-8616-63D5D8E1449B}"/>
  <mergeCells count="9">
    <mergeCell ref="G9:AK9"/>
    <mergeCell ref="O11:U13"/>
    <mergeCell ref="B1:AK1"/>
    <mergeCell ref="A2:A3"/>
    <mergeCell ref="B2:B3"/>
    <mergeCell ref="C2:C3"/>
    <mergeCell ref="D2:D3"/>
    <mergeCell ref="AB2:AB3"/>
    <mergeCell ref="AC2:AC3"/>
  </mergeCells>
  <conditionalFormatting sqref="B13:B1048576 B9 B1:B3">
    <cfRule type="duplicateValues" dxfId="21" priority="1"/>
  </conditionalFormatting>
  <conditionalFormatting sqref="B4:B7">
    <cfRule type="duplicateValues" dxfId="20" priority="1696"/>
  </conditionalFormatting>
  <pageMargins left="0.26033333333333297" right="0.26624999999999999" top="1.1655833333333301" bottom="0.75" header="0.3" footer="0.3"/>
  <pageSetup paperSize="9" scale="6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53BA-2032-4135-8616-63D5D8E1449B}">
  <sheetPr>
    <pageSetUpPr fitToPage="1"/>
  </sheetPr>
  <dimension ref="A1:AR35"/>
  <sheetViews>
    <sheetView zoomScaleNormal="100" workbookViewId="0">
      <selection activeCell="D4" sqref="D4"/>
    </sheetView>
  </sheetViews>
  <sheetFormatPr defaultRowHeight="14.4" x14ac:dyDescent="0.3"/>
  <cols>
    <col min="1" max="1" width="4.5546875" bestFit="1" customWidth="1"/>
    <col min="2" max="2" width="23.109375" bestFit="1" customWidth="1"/>
    <col min="3" max="3" width="18.6640625" style="1" bestFit="1" customWidth="1"/>
    <col min="4" max="4" width="20.77734375" bestFit="1" customWidth="1"/>
    <col min="5" max="5" width="5" bestFit="1" customWidth="1"/>
    <col min="6" max="6" width="4.6640625" bestFit="1" customWidth="1"/>
    <col min="7" max="7" width="4.88671875" bestFit="1" customWidth="1"/>
    <col min="8" max="8" width="4.21875" bestFit="1" customWidth="1"/>
    <col min="9" max="9" width="3.5546875" bestFit="1" customWidth="1"/>
    <col min="10" max="10" width="3.6640625" bestFit="1" customWidth="1"/>
    <col min="11" max="11" width="4.21875" bestFit="1" customWidth="1"/>
    <col min="12" max="12" width="5" bestFit="1" customWidth="1"/>
    <col min="13" max="13" width="4.109375" bestFit="1" customWidth="1"/>
    <col min="14" max="14" width="4.88671875" bestFit="1" customWidth="1"/>
    <col min="15" max="15" width="4.21875" bestFit="1" customWidth="1"/>
    <col min="16" max="16" width="3.5546875" bestFit="1" customWidth="1"/>
    <col min="17" max="17" width="3.6640625" bestFit="1" customWidth="1"/>
    <col min="18" max="18" width="4.21875" bestFit="1" customWidth="1"/>
    <col min="19" max="19" width="5" bestFit="1" customWidth="1"/>
    <col min="20" max="20" width="4.109375" bestFit="1" customWidth="1"/>
    <col min="21" max="21" width="4.88671875" bestFit="1" customWidth="1"/>
    <col min="22" max="22" width="4.21875" bestFit="1" customWidth="1"/>
    <col min="23" max="23" width="3.5546875" bestFit="1" customWidth="1"/>
    <col min="24" max="24" width="3.6640625" bestFit="1" customWidth="1"/>
    <col min="25" max="25" width="4.21875" bestFit="1" customWidth="1"/>
    <col min="26" max="26" width="5" bestFit="1" customWidth="1"/>
    <col min="27" max="27" width="4.109375" bestFit="1" customWidth="1"/>
    <col min="28" max="28" width="4.88671875" bestFit="1" customWidth="1"/>
    <col min="29" max="29" width="4.21875" bestFit="1" customWidth="1"/>
    <col min="30" max="30" width="3.5546875" bestFit="1" customWidth="1"/>
    <col min="31" max="31" width="3.6640625" bestFit="1" customWidth="1"/>
    <col min="32" max="32" width="4.21875" bestFit="1" customWidth="1"/>
    <col min="33" max="33" width="3.5546875" bestFit="1" customWidth="1"/>
    <col min="34" max="34" width="4.109375" bestFit="1" customWidth="1"/>
  </cols>
  <sheetData>
    <row r="1" spans="1:34" ht="42" customHeight="1" thickBot="1" x14ac:dyDescent="0.35">
      <c r="A1" s="39"/>
      <c r="B1" s="75" t="s">
        <v>27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</row>
    <row r="2" spans="1:34" ht="38.4" x14ac:dyDescent="0.3">
      <c r="A2" s="74" t="s">
        <v>14</v>
      </c>
      <c r="B2" s="76" t="s">
        <v>16</v>
      </c>
      <c r="C2" s="78" t="s">
        <v>15</v>
      </c>
      <c r="D2" s="80" t="s">
        <v>3</v>
      </c>
      <c r="E2" s="45">
        <v>46069</v>
      </c>
      <c r="F2" s="45">
        <v>46070</v>
      </c>
      <c r="G2" s="45">
        <v>46071</v>
      </c>
      <c r="H2" s="45">
        <v>46072</v>
      </c>
      <c r="I2" s="52">
        <v>46073</v>
      </c>
      <c r="J2" s="45">
        <v>46074</v>
      </c>
      <c r="K2" s="52">
        <v>46075</v>
      </c>
      <c r="L2" s="45">
        <v>46076</v>
      </c>
      <c r="M2" s="45">
        <v>46077</v>
      </c>
      <c r="N2" s="45">
        <v>46078</v>
      </c>
      <c r="O2" s="45">
        <v>46079</v>
      </c>
      <c r="P2" s="52">
        <v>46080</v>
      </c>
      <c r="Q2" s="45">
        <v>46081</v>
      </c>
      <c r="R2" s="45">
        <v>46082</v>
      </c>
      <c r="S2" s="45">
        <v>46083</v>
      </c>
      <c r="T2" s="45">
        <v>46084</v>
      </c>
      <c r="U2" s="45">
        <v>46085</v>
      </c>
      <c r="V2" s="45">
        <v>46086</v>
      </c>
      <c r="W2" s="52">
        <v>46087</v>
      </c>
      <c r="X2" s="45">
        <v>46088</v>
      </c>
      <c r="Y2" s="45">
        <v>46089</v>
      </c>
      <c r="Z2" s="45">
        <v>46090</v>
      </c>
      <c r="AA2" s="45">
        <v>46091</v>
      </c>
      <c r="AB2" s="45">
        <v>46092</v>
      </c>
      <c r="AC2" s="45">
        <v>46093</v>
      </c>
      <c r="AD2" s="52">
        <v>46094</v>
      </c>
      <c r="AE2" s="45">
        <v>46095</v>
      </c>
      <c r="AF2" s="45">
        <v>46096</v>
      </c>
      <c r="AG2" s="82" t="s">
        <v>2</v>
      </c>
      <c r="AH2" s="84" t="s">
        <v>6</v>
      </c>
    </row>
    <row r="3" spans="1:34" ht="21.6" customHeight="1" thickBot="1" x14ac:dyDescent="0.35">
      <c r="A3" s="69"/>
      <c r="B3" s="77"/>
      <c r="C3" s="79"/>
      <c r="D3" s="81"/>
      <c r="E3" s="30" t="str">
        <f t="shared" ref="E3:AF3" si="0">TEXT(E2,"ddd")</f>
        <v>Mon</v>
      </c>
      <c r="F3" s="30" t="str">
        <f t="shared" si="0"/>
        <v>Tue</v>
      </c>
      <c r="G3" s="30" t="str">
        <f t="shared" si="0"/>
        <v>Wed</v>
      </c>
      <c r="H3" s="30" t="str">
        <f t="shared" si="0"/>
        <v>Thu</v>
      </c>
      <c r="I3" s="53" t="str">
        <f t="shared" si="0"/>
        <v>Fri</v>
      </c>
      <c r="J3" s="30" t="str">
        <f t="shared" si="0"/>
        <v>Sat</v>
      </c>
      <c r="K3" s="53" t="str">
        <f t="shared" si="0"/>
        <v>Sun</v>
      </c>
      <c r="L3" s="30" t="str">
        <f t="shared" si="0"/>
        <v>Mon</v>
      </c>
      <c r="M3" s="30" t="str">
        <f t="shared" si="0"/>
        <v>Tue</v>
      </c>
      <c r="N3" s="30" t="str">
        <f t="shared" si="0"/>
        <v>Wed</v>
      </c>
      <c r="O3" s="30" t="str">
        <f t="shared" si="0"/>
        <v>Thu</v>
      </c>
      <c r="P3" s="53" t="str">
        <f t="shared" si="0"/>
        <v>Fri</v>
      </c>
      <c r="Q3" s="30" t="str">
        <f t="shared" si="0"/>
        <v>Sat</v>
      </c>
      <c r="R3" s="30" t="str">
        <f t="shared" si="0"/>
        <v>Sun</v>
      </c>
      <c r="S3" s="30" t="str">
        <f t="shared" si="0"/>
        <v>Mon</v>
      </c>
      <c r="T3" s="30" t="str">
        <f t="shared" si="0"/>
        <v>Tue</v>
      </c>
      <c r="U3" s="30" t="str">
        <f t="shared" si="0"/>
        <v>Wed</v>
      </c>
      <c r="V3" s="30" t="str">
        <f t="shared" si="0"/>
        <v>Thu</v>
      </c>
      <c r="W3" s="53" t="str">
        <f t="shared" si="0"/>
        <v>Fri</v>
      </c>
      <c r="X3" s="30" t="str">
        <f t="shared" si="0"/>
        <v>Sat</v>
      </c>
      <c r="Y3" s="30" t="str">
        <f t="shared" si="0"/>
        <v>Sun</v>
      </c>
      <c r="Z3" s="30" t="str">
        <f t="shared" si="0"/>
        <v>Mon</v>
      </c>
      <c r="AA3" s="30" t="str">
        <f t="shared" si="0"/>
        <v>Tue</v>
      </c>
      <c r="AB3" s="30" t="str">
        <f t="shared" si="0"/>
        <v>Wed</v>
      </c>
      <c r="AC3" s="30" t="str">
        <f t="shared" si="0"/>
        <v>Thu</v>
      </c>
      <c r="AD3" s="53" t="str">
        <f t="shared" si="0"/>
        <v>Fri</v>
      </c>
      <c r="AE3" s="30" t="str">
        <f t="shared" si="0"/>
        <v>Sat</v>
      </c>
      <c r="AF3" s="30" t="str">
        <f t="shared" si="0"/>
        <v>Sun</v>
      </c>
      <c r="AG3" s="83"/>
      <c r="AH3" s="85"/>
    </row>
    <row r="4" spans="1:34" ht="25.2" customHeight="1" thickBot="1" x14ac:dyDescent="0.35">
      <c r="A4" s="40">
        <v>1</v>
      </c>
      <c r="B4" s="41" t="s">
        <v>19</v>
      </c>
      <c r="C4" s="36">
        <v>2694</v>
      </c>
      <c r="D4" s="31" t="s">
        <v>18</v>
      </c>
      <c r="E4" s="32">
        <v>1.5</v>
      </c>
      <c r="F4" s="32">
        <v>1.5</v>
      </c>
      <c r="G4" s="32" t="s">
        <v>28</v>
      </c>
      <c r="H4" s="32" t="s">
        <v>28</v>
      </c>
      <c r="I4" s="33"/>
      <c r="J4" s="32" t="s">
        <v>28</v>
      </c>
      <c r="K4" s="33" t="s">
        <v>35</v>
      </c>
      <c r="L4" s="32" t="s">
        <v>28</v>
      </c>
      <c r="M4" s="32" t="s">
        <v>28</v>
      </c>
      <c r="N4" s="32" t="s">
        <v>28</v>
      </c>
      <c r="O4" s="32" t="s">
        <v>28</v>
      </c>
      <c r="P4" s="33"/>
      <c r="Q4" s="32" t="s">
        <v>28</v>
      </c>
      <c r="R4" s="32" t="s">
        <v>28</v>
      </c>
      <c r="S4" s="32" t="s">
        <v>28</v>
      </c>
      <c r="T4" s="32" t="s">
        <v>28</v>
      </c>
      <c r="U4" s="32" t="s">
        <v>28</v>
      </c>
      <c r="V4" s="32" t="s">
        <v>28</v>
      </c>
      <c r="W4" s="33"/>
      <c r="X4" s="32" t="s">
        <v>28</v>
      </c>
      <c r="Y4" s="32" t="s">
        <v>28</v>
      </c>
      <c r="Z4" s="32" t="s">
        <v>28</v>
      </c>
      <c r="AA4" s="32" t="s">
        <v>28</v>
      </c>
      <c r="AB4" s="32" t="s">
        <v>28</v>
      </c>
      <c r="AC4" s="32" t="s">
        <v>28</v>
      </c>
      <c r="AD4" s="33"/>
      <c r="AE4" s="32" t="s">
        <v>28</v>
      </c>
      <c r="AF4" s="32" t="s">
        <v>28</v>
      </c>
      <c r="AG4" s="32">
        <f>SUM(E4:AF4)</f>
        <v>3</v>
      </c>
      <c r="AH4" s="34">
        <v>24</v>
      </c>
    </row>
    <row r="5" spans="1:34" ht="25.2" customHeight="1" thickBot="1" x14ac:dyDescent="0.35">
      <c r="A5" s="40">
        <v>2</v>
      </c>
      <c r="B5" s="42" t="s">
        <v>20</v>
      </c>
      <c r="C5" s="37">
        <v>3582</v>
      </c>
      <c r="D5" s="35" t="s">
        <v>18</v>
      </c>
      <c r="E5" s="17">
        <v>1.5</v>
      </c>
      <c r="F5" s="17">
        <v>1.5</v>
      </c>
      <c r="G5" s="17" t="s">
        <v>28</v>
      </c>
      <c r="H5" s="17" t="s">
        <v>28</v>
      </c>
      <c r="I5" s="22"/>
      <c r="J5" s="17" t="s">
        <v>28</v>
      </c>
      <c r="K5" s="33" t="s">
        <v>35</v>
      </c>
      <c r="L5" s="17" t="s">
        <v>28</v>
      </c>
      <c r="M5" s="17" t="s">
        <v>28</v>
      </c>
      <c r="N5" s="17" t="s">
        <v>28</v>
      </c>
      <c r="O5" s="17" t="s">
        <v>28</v>
      </c>
      <c r="P5" s="22"/>
      <c r="Q5" s="17" t="s">
        <v>28</v>
      </c>
      <c r="R5" s="17" t="s">
        <v>28</v>
      </c>
      <c r="S5" s="17" t="s">
        <v>28</v>
      </c>
      <c r="T5" s="17" t="s">
        <v>28</v>
      </c>
      <c r="U5" s="17" t="s">
        <v>28</v>
      </c>
      <c r="V5" s="17" t="s">
        <v>28</v>
      </c>
      <c r="W5" s="22"/>
      <c r="X5" s="17" t="s">
        <v>28</v>
      </c>
      <c r="Y5" s="17" t="s">
        <v>28</v>
      </c>
      <c r="Z5" s="17" t="s">
        <v>28</v>
      </c>
      <c r="AA5" s="17" t="s">
        <v>28</v>
      </c>
      <c r="AB5" s="17" t="s">
        <v>28</v>
      </c>
      <c r="AC5" s="17" t="s">
        <v>28</v>
      </c>
      <c r="AD5" s="22"/>
      <c r="AE5" s="17" t="s">
        <v>28</v>
      </c>
      <c r="AF5" s="17" t="s">
        <v>28</v>
      </c>
      <c r="AG5" s="17">
        <f>SUM(E5:AF5)</f>
        <v>3</v>
      </c>
      <c r="AH5" s="24">
        <v>24</v>
      </c>
    </row>
    <row r="6" spans="1:34" ht="25.2" customHeight="1" thickBot="1" x14ac:dyDescent="0.35">
      <c r="A6" s="40">
        <v>3</v>
      </c>
      <c r="B6" s="42" t="s">
        <v>21</v>
      </c>
      <c r="C6" s="37">
        <v>3898</v>
      </c>
      <c r="D6" s="20" t="s">
        <v>22</v>
      </c>
      <c r="E6" s="17">
        <v>1.5</v>
      </c>
      <c r="F6" s="17">
        <v>1.5</v>
      </c>
      <c r="G6" s="17" t="s">
        <v>28</v>
      </c>
      <c r="H6" s="17" t="s">
        <v>28</v>
      </c>
      <c r="I6" s="22"/>
      <c r="J6" s="17" t="s">
        <v>28</v>
      </c>
      <c r="K6" s="33" t="s">
        <v>35</v>
      </c>
      <c r="L6" s="17" t="s">
        <v>28</v>
      </c>
      <c r="M6" s="17" t="s">
        <v>28</v>
      </c>
      <c r="N6" s="17" t="s">
        <v>28</v>
      </c>
      <c r="O6" s="17" t="s">
        <v>28</v>
      </c>
      <c r="P6" s="22"/>
      <c r="Q6" s="17" t="s">
        <v>28</v>
      </c>
      <c r="R6" s="17" t="s">
        <v>28</v>
      </c>
      <c r="S6" s="17" t="s">
        <v>28</v>
      </c>
      <c r="T6" s="17" t="s">
        <v>28</v>
      </c>
      <c r="U6" s="17" t="s">
        <v>28</v>
      </c>
      <c r="V6" s="17" t="s">
        <v>28</v>
      </c>
      <c r="W6" s="22"/>
      <c r="X6" s="17" t="s">
        <v>28</v>
      </c>
      <c r="Y6" s="17" t="s">
        <v>28</v>
      </c>
      <c r="Z6" s="17" t="s">
        <v>28</v>
      </c>
      <c r="AA6" s="17" t="s">
        <v>28</v>
      </c>
      <c r="AB6" s="17" t="s">
        <v>28</v>
      </c>
      <c r="AC6" s="17" t="s">
        <v>28</v>
      </c>
      <c r="AD6" s="22"/>
      <c r="AE6" s="17" t="s">
        <v>28</v>
      </c>
      <c r="AF6" s="17" t="s">
        <v>28</v>
      </c>
      <c r="AG6" s="17">
        <f>SUM(E6:AF6)</f>
        <v>3</v>
      </c>
      <c r="AH6" s="24">
        <v>24</v>
      </c>
    </row>
    <row r="7" spans="1:34" ht="25.2" customHeight="1" thickBot="1" x14ac:dyDescent="0.35">
      <c r="A7" s="40">
        <v>4</v>
      </c>
      <c r="B7" s="42" t="s">
        <v>23</v>
      </c>
      <c r="C7" s="37">
        <v>2051</v>
      </c>
      <c r="D7" s="20" t="s">
        <v>25</v>
      </c>
      <c r="E7" s="17">
        <v>1.5</v>
      </c>
      <c r="F7" s="17">
        <v>1.5</v>
      </c>
      <c r="G7" s="17" t="s">
        <v>28</v>
      </c>
      <c r="H7" s="17" t="s">
        <v>28</v>
      </c>
      <c r="I7" s="22"/>
      <c r="J7" s="17" t="s">
        <v>28</v>
      </c>
      <c r="K7" s="33" t="s">
        <v>35</v>
      </c>
      <c r="L7" s="17" t="s">
        <v>28</v>
      </c>
      <c r="M7" s="17" t="s">
        <v>28</v>
      </c>
      <c r="N7" s="17" t="s">
        <v>28</v>
      </c>
      <c r="O7" s="17" t="s">
        <v>28</v>
      </c>
      <c r="P7" s="22"/>
      <c r="Q7" s="17" t="s">
        <v>28</v>
      </c>
      <c r="R7" s="17" t="s">
        <v>28</v>
      </c>
      <c r="S7" s="17" t="s">
        <v>28</v>
      </c>
      <c r="T7" s="17" t="s">
        <v>28</v>
      </c>
      <c r="U7" s="17" t="s">
        <v>28</v>
      </c>
      <c r="V7" s="17" t="s">
        <v>28</v>
      </c>
      <c r="W7" s="22"/>
      <c r="X7" s="17" t="s">
        <v>28</v>
      </c>
      <c r="Y7" s="17" t="s">
        <v>28</v>
      </c>
      <c r="Z7" s="17" t="s">
        <v>28</v>
      </c>
      <c r="AA7" s="22" t="s">
        <v>26</v>
      </c>
      <c r="AB7" s="22" t="s">
        <v>26</v>
      </c>
      <c r="AC7" s="22" t="s">
        <v>26</v>
      </c>
      <c r="AD7" s="22" t="s">
        <v>26</v>
      </c>
      <c r="AE7" s="22" t="s">
        <v>26</v>
      </c>
      <c r="AF7" s="22" t="s">
        <v>26</v>
      </c>
      <c r="AG7" s="17">
        <f>SUM(E7:AF7)</f>
        <v>3</v>
      </c>
      <c r="AH7" s="24">
        <v>18</v>
      </c>
    </row>
    <row r="8" spans="1:34" ht="25.2" customHeight="1" thickBot="1" x14ac:dyDescent="0.35">
      <c r="A8" s="43">
        <v>5</v>
      </c>
      <c r="B8" s="44" t="s">
        <v>24</v>
      </c>
      <c r="C8" s="38">
        <v>3850</v>
      </c>
      <c r="D8" s="25" t="s">
        <v>22</v>
      </c>
      <c r="E8" s="27">
        <v>1.5</v>
      </c>
      <c r="F8" s="27">
        <v>1.5</v>
      </c>
      <c r="G8" s="27" t="s">
        <v>28</v>
      </c>
      <c r="H8" s="27" t="s">
        <v>28</v>
      </c>
      <c r="I8" s="28"/>
      <c r="J8" s="27" t="s">
        <v>28</v>
      </c>
      <c r="K8" s="33" t="s">
        <v>35</v>
      </c>
      <c r="L8" s="27" t="s">
        <v>28</v>
      </c>
      <c r="M8" s="27" t="s">
        <v>28</v>
      </c>
      <c r="N8" s="27" t="s">
        <v>28</v>
      </c>
      <c r="O8" s="27" t="s">
        <v>28</v>
      </c>
      <c r="P8" s="28"/>
      <c r="Q8" s="27" t="s">
        <v>28</v>
      </c>
      <c r="R8" s="27" t="s">
        <v>28</v>
      </c>
      <c r="S8" s="27" t="s">
        <v>28</v>
      </c>
      <c r="T8" s="27" t="s">
        <v>28</v>
      </c>
      <c r="U8" s="27" t="s">
        <v>28</v>
      </c>
      <c r="V8" s="27" t="s">
        <v>28</v>
      </c>
      <c r="W8" s="28"/>
      <c r="X8" s="27" t="s">
        <v>28</v>
      </c>
      <c r="Y8" s="27" t="s">
        <v>28</v>
      </c>
      <c r="Z8" s="27" t="s">
        <v>28</v>
      </c>
      <c r="AA8" s="27" t="s">
        <v>28</v>
      </c>
      <c r="AB8" s="27" t="s">
        <v>28</v>
      </c>
      <c r="AC8" s="27" t="s">
        <v>28</v>
      </c>
      <c r="AD8" s="28"/>
      <c r="AE8" s="27" t="s">
        <v>28</v>
      </c>
      <c r="AF8" s="27" t="s">
        <v>28</v>
      </c>
      <c r="AG8" s="27">
        <f>SUM(E8:AF8)</f>
        <v>3</v>
      </c>
      <c r="AH8" s="29">
        <v>24</v>
      </c>
    </row>
    <row r="9" spans="1:34" ht="25.2" customHeight="1" x14ac:dyDescent="0.3">
      <c r="G9" s="64" t="s">
        <v>4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</row>
    <row r="10" spans="1:34" ht="25.2" customHeight="1" x14ac:dyDescent="0.3">
      <c r="D10" s="13"/>
      <c r="K10" s="14"/>
      <c r="L10" s="14"/>
      <c r="M10" s="14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4" ht="25.2" customHeight="1" x14ac:dyDescent="0.5">
      <c r="D11" s="13"/>
      <c r="E11" s="14"/>
      <c r="F11" s="14"/>
      <c r="G11" s="15"/>
      <c r="H11" s="15"/>
      <c r="I11" s="15"/>
      <c r="J11" s="15"/>
      <c r="K11" s="15"/>
      <c r="L11" s="15"/>
      <c r="M11" s="15"/>
      <c r="N11" s="15"/>
      <c r="O11" s="66" t="s">
        <v>5</v>
      </c>
      <c r="P11" s="66"/>
      <c r="Q11" s="66"/>
      <c r="R11" s="66"/>
      <c r="S11" s="66"/>
      <c r="T11" s="66"/>
      <c r="U11" s="66"/>
      <c r="X11" s="12"/>
      <c r="Y11" s="12"/>
    </row>
    <row r="12" spans="1:34" ht="25.2" customHeight="1" x14ac:dyDescent="0.5">
      <c r="D12" s="13"/>
      <c r="E12" s="14"/>
      <c r="F12" s="14"/>
      <c r="G12" s="15"/>
      <c r="H12" s="15"/>
      <c r="I12" s="15"/>
      <c r="J12" s="15"/>
      <c r="K12" s="15"/>
      <c r="L12" s="15"/>
      <c r="M12" s="15"/>
      <c r="N12" s="15"/>
      <c r="O12" s="66"/>
      <c r="P12" s="66"/>
      <c r="Q12" s="66"/>
      <c r="R12" s="66"/>
      <c r="S12" s="66"/>
      <c r="T12" s="66"/>
      <c r="U12" s="66"/>
      <c r="X12" s="12"/>
      <c r="Y12" s="12"/>
    </row>
    <row r="13" spans="1:34" ht="25.2" customHeight="1" x14ac:dyDescent="0.4">
      <c r="C13" s="19"/>
      <c r="D13" s="10"/>
      <c r="E13" s="14"/>
      <c r="M13" s="15"/>
      <c r="N13" s="15"/>
      <c r="O13" s="66"/>
      <c r="P13" s="66"/>
      <c r="Q13" s="66"/>
      <c r="R13" s="66"/>
      <c r="S13" s="66"/>
      <c r="T13" s="66"/>
      <c r="U13" s="66"/>
    </row>
    <row r="14" spans="1:34" ht="25.2" customHeight="1" x14ac:dyDescent="0.3"/>
    <row r="15" spans="1:34" ht="25.2" customHeight="1" x14ac:dyDescent="0.3"/>
    <row r="16" spans="1:34" ht="25.2" customHeight="1" x14ac:dyDescent="0.3"/>
    <row r="17" spans="35:44" ht="25.2" customHeight="1" x14ac:dyDescent="0.3"/>
    <row r="18" spans="35:44" ht="25.2" customHeight="1" x14ac:dyDescent="0.3"/>
    <row r="19" spans="35:44" ht="25.2" customHeight="1" x14ac:dyDescent="0.3"/>
    <row r="20" spans="35:44" ht="19.2" customHeight="1" x14ac:dyDescent="0.5">
      <c r="AI20" s="12"/>
    </row>
    <row r="21" spans="35:44" ht="19.2" customHeight="1" x14ac:dyDescent="0.5">
      <c r="AI21" s="12"/>
    </row>
    <row r="22" spans="35:44" ht="19.2" customHeight="1" x14ac:dyDescent="0.5">
      <c r="AI22" s="12"/>
    </row>
    <row r="23" spans="35:44" ht="14.4" customHeight="1" x14ac:dyDescent="0.5">
      <c r="AI23" s="12"/>
      <c r="AJ23" s="12"/>
      <c r="AK23" s="12"/>
      <c r="AL23" s="12"/>
      <c r="AM23" s="11"/>
      <c r="AN23" s="11"/>
      <c r="AO23" s="11"/>
      <c r="AP23" s="11"/>
      <c r="AQ23" s="11"/>
      <c r="AR23" s="11"/>
    </row>
    <row r="24" spans="35:44" ht="14.4" customHeight="1" x14ac:dyDescent="0.5">
      <c r="AI24" s="12"/>
      <c r="AJ24" s="12"/>
      <c r="AK24" s="12"/>
      <c r="AL24" s="12"/>
      <c r="AM24" s="11"/>
      <c r="AN24" s="11"/>
      <c r="AO24" s="11"/>
      <c r="AP24" s="11"/>
      <c r="AQ24" s="11"/>
      <c r="AR24" s="11"/>
    </row>
    <row r="25" spans="35:44" ht="14.4" customHeight="1" x14ac:dyDescent="0.5">
      <c r="AI25" s="7"/>
      <c r="AJ25" s="12"/>
      <c r="AK25" s="12"/>
      <c r="AL25" s="12"/>
      <c r="AM25" s="11"/>
      <c r="AN25" s="11"/>
      <c r="AO25" s="11"/>
      <c r="AP25" s="11"/>
      <c r="AQ25" s="11"/>
      <c r="AR25" s="11"/>
    </row>
    <row r="26" spans="35:44" ht="14.4" customHeight="1" x14ac:dyDescent="0.5">
      <c r="AJ26" s="12"/>
      <c r="AK26" s="12"/>
      <c r="AL26" s="12"/>
      <c r="AM26" s="11"/>
      <c r="AN26" s="11"/>
      <c r="AO26" s="11"/>
      <c r="AP26" s="11"/>
      <c r="AQ26" s="11"/>
      <c r="AR26" s="11"/>
    </row>
    <row r="27" spans="35:44" ht="14.4" customHeight="1" x14ac:dyDescent="0.5">
      <c r="AJ27" s="12"/>
      <c r="AK27" s="12"/>
      <c r="AL27" s="12"/>
      <c r="AM27" s="11"/>
      <c r="AN27" s="11"/>
      <c r="AO27" s="11"/>
      <c r="AP27" s="11"/>
      <c r="AQ27" s="11"/>
      <c r="AR27" s="11"/>
    </row>
    <row r="28" spans="35:44" ht="19.2" customHeight="1" x14ac:dyDescent="0.3">
      <c r="AJ28" s="7"/>
      <c r="AK28" s="7"/>
      <c r="AL28" s="7"/>
    </row>
    <row r="29" spans="35:44" ht="19.2" customHeight="1" x14ac:dyDescent="0.3"/>
    <row r="30" spans="35:44" ht="19.2" customHeight="1" x14ac:dyDescent="0.3"/>
    <row r="31" spans="35:44" ht="19.2" customHeight="1" x14ac:dyDescent="0.3"/>
    <row r="32" spans="35:44" ht="19.2" customHeight="1" x14ac:dyDescent="0.3"/>
    <row r="33" ht="19.2" customHeight="1" x14ac:dyDescent="0.3"/>
    <row r="34" ht="19.2" customHeight="1" x14ac:dyDescent="0.3"/>
    <row r="35" ht="19.2" customHeight="1" x14ac:dyDescent="0.3"/>
  </sheetData>
  <autoFilter ref="B2:D4" xr:uid="{80F953BA-2032-4135-8616-63D5D8E1449B}"/>
  <mergeCells count="9">
    <mergeCell ref="A2:A3"/>
    <mergeCell ref="G9:AH9"/>
    <mergeCell ref="O11:U13"/>
    <mergeCell ref="B1:AH1"/>
    <mergeCell ref="B2:B3"/>
    <mergeCell ref="C2:C3"/>
    <mergeCell ref="D2:D3"/>
    <mergeCell ref="AG2:AG3"/>
    <mergeCell ref="AH2:AH3"/>
  </mergeCells>
  <phoneticPr fontId="6" type="noConversion"/>
  <conditionalFormatting sqref="B13:B1048576 B9 B1:B3">
    <cfRule type="duplicateValues" dxfId="19" priority="101"/>
  </conditionalFormatting>
  <conditionalFormatting sqref="B4:B8">
    <cfRule type="duplicateValues" dxfId="18" priority="1678"/>
  </conditionalFormatting>
  <pageMargins left="0.26033333333333297" right="0.26624999999999999" top="1.1655833333333301" bottom="0.75" header="0.3" footer="0.3"/>
  <pageSetup paperSize="9" scale="75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3946-923D-4B74-9F2C-7ADDC396A2D6}">
  <sheetPr>
    <pageSetUpPr fitToPage="1"/>
  </sheetPr>
  <dimension ref="A1:AP22"/>
  <sheetViews>
    <sheetView showGridLines="0" zoomScaleNormal="100" workbookViewId="0">
      <selection activeCell="F24" sqref="F24"/>
    </sheetView>
  </sheetViews>
  <sheetFormatPr defaultRowHeight="14.4" x14ac:dyDescent="0.3"/>
  <cols>
    <col min="1" max="1" width="8.5546875" bestFit="1" customWidth="1"/>
    <col min="2" max="2" width="24.77734375" bestFit="1" customWidth="1"/>
    <col min="3" max="3" width="9.5546875" bestFit="1" customWidth="1"/>
    <col min="4" max="4" width="5" bestFit="1" customWidth="1"/>
    <col min="5" max="5" width="4.6640625" bestFit="1" customWidth="1"/>
    <col min="6" max="6" width="4.88671875" bestFit="1" customWidth="1"/>
    <col min="7" max="7" width="4.21875" bestFit="1" customWidth="1"/>
    <col min="8" max="8" width="3.5546875" bestFit="1" customWidth="1"/>
    <col min="9" max="9" width="3.6640625" bestFit="1" customWidth="1"/>
    <col min="10" max="10" width="4.21875" bestFit="1" customWidth="1"/>
    <col min="11" max="11" width="5" bestFit="1" customWidth="1"/>
    <col min="12" max="12" width="4.109375" bestFit="1" customWidth="1"/>
    <col min="13" max="13" width="4.88671875" bestFit="1" customWidth="1"/>
    <col min="14" max="14" width="4.21875" bestFit="1" customWidth="1"/>
    <col min="15" max="15" width="3.5546875" bestFit="1" customWidth="1"/>
    <col min="16" max="16" width="3.6640625" bestFit="1" customWidth="1"/>
    <col min="17" max="17" width="4.21875" bestFit="1" customWidth="1"/>
    <col min="18" max="18" width="5" bestFit="1" customWidth="1"/>
    <col min="19" max="19" width="4.109375" bestFit="1" customWidth="1"/>
    <col min="20" max="20" width="4.88671875" bestFit="1" customWidth="1"/>
    <col min="21" max="21" width="4.21875" bestFit="1" customWidth="1"/>
    <col min="22" max="22" width="3.5546875" bestFit="1" customWidth="1"/>
    <col min="23" max="23" width="3.6640625" bestFit="1" customWidth="1"/>
    <col min="24" max="24" width="4.21875" bestFit="1" customWidth="1"/>
    <col min="25" max="25" width="5" bestFit="1" customWidth="1"/>
    <col min="26" max="26" width="4.109375" bestFit="1" customWidth="1"/>
    <col min="27" max="27" width="4.88671875" bestFit="1" customWidth="1"/>
    <col min="28" max="28" width="4.21875" bestFit="1" customWidth="1"/>
    <col min="29" max="29" width="3.5546875" bestFit="1" customWidth="1"/>
    <col min="30" max="30" width="3.6640625" bestFit="1" customWidth="1"/>
    <col min="31" max="31" width="4.21875" bestFit="1" customWidth="1"/>
    <col min="32" max="33" width="4.21875" customWidth="1"/>
    <col min="34" max="34" width="5.109375" bestFit="1" customWidth="1"/>
    <col min="35" max="35" width="4.6640625" bestFit="1" customWidth="1"/>
    <col min="36" max="36" width="11.109375" bestFit="1" customWidth="1"/>
  </cols>
  <sheetData>
    <row r="1" spans="1:42" ht="42" customHeight="1" thickBot="1" x14ac:dyDescent="0.35">
      <c r="A1" s="90" t="s">
        <v>38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</row>
    <row r="2" spans="1:42" ht="43.8" customHeight="1" x14ac:dyDescent="0.3">
      <c r="A2" s="74" t="s">
        <v>0</v>
      </c>
      <c r="B2" s="92" t="s">
        <v>1</v>
      </c>
      <c r="C2" s="80" t="s">
        <v>3</v>
      </c>
      <c r="D2" s="46">
        <v>46097</v>
      </c>
      <c r="E2" s="46">
        <v>46098</v>
      </c>
      <c r="F2" s="46">
        <v>46099</v>
      </c>
      <c r="G2" s="46">
        <v>46100</v>
      </c>
      <c r="H2" s="46">
        <v>46101</v>
      </c>
      <c r="I2" s="46">
        <v>46102</v>
      </c>
      <c r="J2" s="46">
        <v>46103</v>
      </c>
      <c r="K2" s="46">
        <v>46104</v>
      </c>
      <c r="L2" s="46">
        <v>46105</v>
      </c>
      <c r="M2" s="46">
        <v>46106</v>
      </c>
      <c r="N2" s="46">
        <v>46107</v>
      </c>
      <c r="O2" s="46">
        <v>46108</v>
      </c>
      <c r="P2" s="46">
        <v>46109</v>
      </c>
      <c r="Q2" s="46">
        <v>46110</v>
      </c>
      <c r="R2" s="46">
        <v>46111</v>
      </c>
      <c r="S2" s="46">
        <v>46112</v>
      </c>
      <c r="T2" s="46">
        <v>46113</v>
      </c>
      <c r="U2" s="46">
        <v>46114</v>
      </c>
      <c r="V2" s="46">
        <v>46115</v>
      </c>
      <c r="W2" s="46">
        <v>46116</v>
      </c>
      <c r="X2" s="46">
        <v>46117</v>
      </c>
      <c r="Y2" s="46">
        <v>46118</v>
      </c>
      <c r="Z2" s="46">
        <v>46119</v>
      </c>
      <c r="AA2" s="46">
        <v>46120</v>
      </c>
      <c r="AB2" s="46">
        <v>46121</v>
      </c>
      <c r="AC2" s="46">
        <v>46122</v>
      </c>
      <c r="AD2" s="46">
        <v>46123</v>
      </c>
      <c r="AE2" s="46">
        <v>46124</v>
      </c>
      <c r="AF2" s="46">
        <v>46125</v>
      </c>
      <c r="AG2" s="46">
        <v>46126</v>
      </c>
      <c r="AH2" s="46">
        <v>46127</v>
      </c>
      <c r="AI2" s="93" t="s">
        <v>2</v>
      </c>
      <c r="AJ2" s="84" t="s">
        <v>17</v>
      </c>
    </row>
    <row r="3" spans="1:42" ht="21.6" customHeight="1" x14ac:dyDescent="0.3">
      <c r="A3" s="69"/>
      <c r="B3" s="71"/>
      <c r="C3" s="70"/>
      <c r="D3" s="51" t="str">
        <f t="shared" ref="D3:AH3" si="0">TEXT(D2,"ddd")</f>
        <v>Mon</v>
      </c>
      <c r="E3" s="51" t="str">
        <f t="shared" si="0"/>
        <v>Tue</v>
      </c>
      <c r="F3" s="51" t="str">
        <f t="shared" si="0"/>
        <v>Wed</v>
      </c>
      <c r="G3" s="51" t="str">
        <f t="shared" si="0"/>
        <v>Thu</v>
      </c>
      <c r="H3" s="51" t="str">
        <f t="shared" si="0"/>
        <v>Fri</v>
      </c>
      <c r="I3" s="51" t="str">
        <f t="shared" si="0"/>
        <v>Sat</v>
      </c>
      <c r="J3" s="51" t="str">
        <f t="shared" si="0"/>
        <v>Sun</v>
      </c>
      <c r="K3" s="51" t="str">
        <f t="shared" si="0"/>
        <v>Mon</v>
      </c>
      <c r="L3" s="51" t="str">
        <f t="shared" si="0"/>
        <v>Tue</v>
      </c>
      <c r="M3" s="51" t="str">
        <f t="shared" si="0"/>
        <v>Wed</v>
      </c>
      <c r="N3" s="51" t="str">
        <f t="shared" si="0"/>
        <v>Thu</v>
      </c>
      <c r="O3" s="51" t="str">
        <f t="shared" si="0"/>
        <v>Fri</v>
      </c>
      <c r="P3" s="51" t="str">
        <f t="shared" si="0"/>
        <v>Sat</v>
      </c>
      <c r="Q3" s="51" t="str">
        <f t="shared" si="0"/>
        <v>Sun</v>
      </c>
      <c r="R3" s="51" t="str">
        <f t="shared" si="0"/>
        <v>Mon</v>
      </c>
      <c r="S3" s="51" t="str">
        <f t="shared" si="0"/>
        <v>Tue</v>
      </c>
      <c r="T3" s="51" t="str">
        <f t="shared" si="0"/>
        <v>Wed</v>
      </c>
      <c r="U3" s="51" t="str">
        <f t="shared" si="0"/>
        <v>Thu</v>
      </c>
      <c r="V3" s="51" t="str">
        <f t="shared" si="0"/>
        <v>Fri</v>
      </c>
      <c r="W3" s="51" t="str">
        <f t="shared" si="0"/>
        <v>Sat</v>
      </c>
      <c r="X3" s="51" t="str">
        <f t="shared" si="0"/>
        <v>Sun</v>
      </c>
      <c r="Y3" s="51" t="str">
        <f t="shared" si="0"/>
        <v>Mon</v>
      </c>
      <c r="Z3" s="51" t="str">
        <f t="shared" si="0"/>
        <v>Tue</v>
      </c>
      <c r="AA3" s="51" t="str">
        <f t="shared" si="0"/>
        <v>Wed</v>
      </c>
      <c r="AB3" s="51" t="str">
        <f t="shared" si="0"/>
        <v>Thu</v>
      </c>
      <c r="AC3" s="51" t="str">
        <f t="shared" si="0"/>
        <v>Fri</v>
      </c>
      <c r="AD3" s="51" t="str">
        <f t="shared" si="0"/>
        <v>Sat</v>
      </c>
      <c r="AE3" s="51" t="str">
        <f t="shared" si="0"/>
        <v>Sun</v>
      </c>
      <c r="AF3" s="51" t="str">
        <f t="shared" si="0"/>
        <v>Mon</v>
      </c>
      <c r="AG3" s="51" t="str">
        <f t="shared" si="0"/>
        <v>Tue</v>
      </c>
      <c r="AH3" s="51" t="str">
        <f t="shared" si="0"/>
        <v>Wed</v>
      </c>
      <c r="AI3" s="94"/>
      <c r="AJ3" s="95"/>
    </row>
    <row r="4" spans="1:42" ht="25.2" customHeight="1" x14ac:dyDescent="0.3">
      <c r="A4" s="47">
        <v>3990</v>
      </c>
      <c r="B4" s="9" t="s">
        <v>10</v>
      </c>
      <c r="C4" s="8" t="s">
        <v>11</v>
      </c>
      <c r="D4" s="17">
        <v>1</v>
      </c>
      <c r="E4" s="17">
        <v>1</v>
      </c>
      <c r="F4" s="17">
        <v>1</v>
      </c>
      <c r="G4" s="17">
        <v>1</v>
      </c>
      <c r="H4" s="22">
        <v>4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22">
        <v>4</v>
      </c>
      <c r="P4" s="17">
        <v>1</v>
      </c>
      <c r="Q4" s="17">
        <v>1</v>
      </c>
      <c r="R4" s="17">
        <v>1</v>
      </c>
      <c r="S4" s="17">
        <v>1</v>
      </c>
      <c r="T4" s="17">
        <v>1</v>
      </c>
      <c r="U4" s="17">
        <v>1</v>
      </c>
      <c r="V4" s="22">
        <v>4</v>
      </c>
      <c r="W4" s="17">
        <v>1</v>
      </c>
      <c r="X4" s="17">
        <v>1</v>
      </c>
      <c r="Y4" s="17">
        <v>1</v>
      </c>
      <c r="Z4" s="17">
        <v>1</v>
      </c>
      <c r="AA4" s="17">
        <v>1</v>
      </c>
      <c r="AB4" s="17">
        <v>1</v>
      </c>
      <c r="AC4" s="22">
        <v>4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f>SUM(D4:AH4)</f>
        <v>43</v>
      </c>
      <c r="AJ4" s="24">
        <v>26</v>
      </c>
    </row>
    <row r="5" spans="1:42" ht="25.2" customHeight="1" x14ac:dyDescent="0.3">
      <c r="A5" s="47">
        <v>4217</v>
      </c>
      <c r="B5" s="9" t="s">
        <v>8</v>
      </c>
      <c r="C5" s="8" t="s">
        <v>11</v>
      </c>
      <c r="D5" s="17">
        <v>1</v>
      </c>
      <c r="E5" s="17">
        <v>1</v>
      </c>
      <c r="F5" s="17">
        <v>1</v>
      </c>
      <c r="G5" s="17">
        <v>1</v>
      </c>
      <c r="H5" s="22">
        <v>4</v>
      </c>
      <c r="I5" s="17">
        <v>1</v>
      </c>
      <c r="J5" s="17">
        <v>1</v>
      </c>
      <c r="K5" s="17">
        <v>1</v>
      </c>
      <c r="L5" s="17">
        <v>1</v>
      </c>
      <c r="M5" s="17">
        <v>1</v>
      </c>
      <c r="N5" s="17">
        <v>1</v>
      </c>
      <c r="O5" s="22">
        <v>4</v>
      </c>
      <c r="P5" s="17">
        <v>1</v>
      </c>
      <c r="Q5" s="17">
        <v>1</v>
      </c>
      <c r="R5" s="17">
        <v>1</v>
      </c>
      <c r="S5" s="17">
        <v>1</v>
      </c>
      <c r="T5" s="17">
        <v>1</v>
      </c>
      <c r="U5" s="17">
        <v>1</v>
      </c>
      <c r="V5" s="22">
        <v>4</v>
      </c>
      <c r="W5" s="17">
        <v>1</v>
      </c>
      <c r="X5" s="17">
        <v>1</v>
      </c>
      <c r="Y5" s="17">
        <v>1</v>
      </c>
      <c r="Z5" s="17">
        <v>1</v>
      </c>
      <c r="AA5" s="17">
        <v>1</v>
      </c>
      <c r="AB5" s="17">
        <v>1</v>
      </c>
      <c r="AC5" s="22">
        <v>4</v>
      </c>
      <c r="AD5" s="17">
        <v>1</v>
      </c>
      <c r="AE5" s="17">
        <v>1</v>
      </c>
      <c r="AF5" s="17">
        <v>1</v>
      </c>
      <c r="AG5" s="17">
        <v>1</v>
      </c>
      <c r="AH5" s="17">
        <v>1</v>
      </c>
      <c r="AI5" s="17">
        <f t="shared" ref="AI5:AI6" si="1">SUM(D5:AH5)</f>
        <v>43</v>
      </c>
      <c r="AJ5" s="24">
        <v>26</v>
      </c>
    </row>
    <row r="6" spans="1:42" ht="25.2" customHeight="1" x14ac:dyDescent="0.3">
      <c r="A6" s="47">
        <v>3857</v>
      </c>
      <c r="B6" s="9" t="s">
        <v>7</v>
      </c>
      <c r="C6" s="8" t="s">
        <v>11</v>
      </c>
      <c r="D6" s="17">
        <v>1</v>
      </c>
      <c r="E6" s="17">
        <v>1</v>
      </c>
      <c r="F6" s="17">
        <v>1</v>
      </c>
      <c r="G6" s="17">
        <v>1</v>
      </c>
      <c r="H6" s="22">
        <v>4</v>
      </c>
      <c r="I6" s="17">
        <v>1</v>
      </c>
      <c r="J6" s="17">
        <v>1</v>
      </c>
      <c r="K6" s="17">
        <v>1</v>
      </c>
      <c r="L6" s="17">
        <v>1</v>
      </c>
      <c r="M6" s="17">
        <v>1</v>
      </c>
      <c r="N6" s="17">
        <v>1</v>
      </c>
      <c r="O6" s="22">
        <v>4</v>
      </c>
      <c r="P6" s="17">
        <v>1</v>
      </c>
      <c r="Q6" s="17">
        <v>1</v>
      </c>
      <c r="R6" s="17">
        <v>1</v>
      </c>
      <c r="S6" s="17">
        <v>1</v>
      </c>
      <c r="T6" s="17">
        <v>1</v>
      </c>
      <c r="U6" s="17">
        <v>1</v>
      </c>
      <c r="V6" s="22">
        <v>4</v>
      </c>
      <c r="W6" s="17">
        <v>1</v>
      </c>
      <c r="X6" s="17">
        <v>1</v>
      </c>
      <c r="Y6" s="17">
        <v>1</v>
      </c>
      <c r="Z6" s="17">
        <v>1</v>
      </c>
      <c r="AA6" s="17">
        <v>1</v>
      </c>
      <c r="AB6" s="17">
        <v>1</v>
      </c>
      <c r="AC6" s="22">
        <v>4</v>
      </c>
      <c r="AD6" s="17">
        <v>1</v>
      </c>
      <c r="AE6" s="17">
        <v>1</v>
      </c>
      <c r="AF6" s="17">
        <v>1</v>
      </c>
      <c r="AG6" s="17">
        <v>1</v>
      </c>
      <c r="AH6" s="17">
        <v>1</v>
      </c>
      <c r="AI6" s="17">
        <f t="shared" si="1"/>
        <v>43</v>
      </c>
      <c r="AJ6" s="24">
        <v>26</v>
      </c>
    </row>
    <row r="7" spans="1:42" ht="19.2" customHeight="1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4"/>
      <c r="AJ7" s="5"/>
    </row>
    <row r="8" spans="1:42" ht="19.2" customHeight="1" x14ac:dyDescent="0.3">
      <c r="A8" s="87" t="s">
        <v>4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9"/>
    </row>
    <row r="9" spans="1:42" ht="19.2" customHeight="1" x14ac:dyDescent="0.3"/>
    <row r="10" spans="1:42" ht="14.4" customHeight="1" x14ac:dyDescent="0.5">
      <c r="E10" s="14"/>
      <c r="F10" s="14"/>
      <c r="G10" s="14"/>
      <c r="H10" s="15"/>
      <c r="I10" s="15"/>
      <c r="J10" s="15"/>
      <c r="K10" s="15"/>
      <c r="L10" s="15"/>
      <c r="M10" s="86" t="s">
        <v>5</v>
      </c>
      <c r="N10" s="86"/>
      <c r="O10" s="86"/>
      <c r="P10" s="86"/>
      <c r="Q10" s="86"/>
      <c r="R10" s="86"/>
      <c r="S10" s="15"/>
      <c r="T10" s="15"/>
      <c r="U10" s="15"/>
      <c r="V10" s="15"/>
      <c r="W10" s="15"/>
      <c r="X10" s="15"/>
      <c r="Y10" s="15"/>
      <c r="Z10" s="15"/>
      <c r="AD10" s="12"/>
      <c r="AE10" s="12"/>
      <c r="AF10" s="12"/>
      <c r="AG10" s="12"/>
      <c r="AH10" s="12"/>
      <c r="AI10" s="12"/>
      <c r="AJ10" s="12"/>
      <c r="AK10" s="11"/>
      <c r="AL10" s="11"/>
      <c r="AM10" s="11"/>
      <c r="AN10" s="11"/>
      <c r="AO10" s="11"/>
      <c r="AP10" s="11"/>
    </row>
    <row r="11" spans="1:42" ht="14.4" customHeight="1" x14ac:dyDescent="0.3">
      <c r="A11" s="15"/>
      <c r="B11" s="86"/>
      <c r="C11" s="86"/>
      <c r="D11" s="50"/>
      <c r="E11" s="50"/>
      <c r="F11" s="50"/>
      <c r="G11" s="50"/>
      <c r="H11" s="50"/>
      <c r="I11" s="15"/>
      <c r="J11" s="15"/>
      <c r="K11" s="15"/>
      <c r="L11" s="15"/>
      <c r="M11" s="86"/>
      <c r="N11" s="86"/>
      <c r="O11" s="86"/>
      <c r="P11" s="86"/>
      <c r="Q11" s="86"/>
      <c r="R11" s="86"/>
      <c r="AD11" s="11"/>
      <c r="AE11" s="11"/>
      <c r="AF11" s="11"/>
      <c r="AG11" s="11"/>
      <c r="AH11" s="11"/>
      <c r="AI11" s="11"/>
      <c r="AJ11" s="11"/>
    </row>
    <row r="12" spans="1:42" ht="14.4" customHeight="1" x14ac:dyDescent="0.3">
      <c r="A12" s="15"/>
      <c r="B12" s="86"/>
      <c r="C12" s="86"/>
      <c r="D12" s="50"/>
      <c r="E12" s="50"/>
      <c r="F12" s="50"/>
      <c r="G12" s="50"/>
      <c r="H12" s="50"/>
      <c r="I12" s="15"/>
      <c r="J12" s="15"/>
      <c r="K12" s="15"/>
      <c r="L12" s="15"/>
      <c r="M12" s="86"/>
      <c r="N12" s="86"/>
      <c r="O12" s="86"/>
      <c r="P12" s="86"/>
      <c r="Q12" s="86"/>
      <c r="R12" s="86"/>
      <c r="AD12" s="11"/>
      <c r="AE12" s="11"/>
      <c r="AF12" s="11"/>
      <c r="AG12" s="11"/>
      <c r="AH12" s="11"/>
      <c r="AI12" s="11"/>
      <c r="AJ12" s="11"/>
    </row>
    <row r="13" spans="1:42" ht="14.4" customHeight="1" x14ac:dyDescent="0.3">
      <c r="A13" s="15"/>
      <c r="B13" s="86"/>
      <c r="C13" s="86"/>
      <c r="D13" s="50"/>
      <c r="E13" s="50"/>
      <c r="F13" s="50"/>
      <c r="G13" s="50"/>
      <c r="H13" s="50"/>
      <c r="I13" s="15"/>
      <c r="J13" s="15"/>
      <c r="K13" s="15"/>
      <c r="L13" s="15"/>
      <c r="M13" s="86"/>
      <c r="N13" s="86"/>
      <c r="O13" s="86"/>
      <c r="P13" s="86"/>
      <c r="Q13" s="86"/>
      <c r="R13" s="86"/>
      <c r="AD13" s="11"/>
      <c r="AE13" s="11"/>
      <c r="AF13" s="11"/>
      <c r="AG13" s="11"/>
      <c r="AH13" s="11"/>
      <c r="AI13" s="11"/>
      <c r="AJ13" s="11"/>
    </row>
    <row r="14" spans="1:42" ht="14.4" customHeight="1" x14ac:dyDescent="0.5">
      <c r="B14" s="86"/>
      <c r="C14" s="86"/>
      <c r="D14" s="50"/>
      <c r="E14" s="50"/>
      <c r="F14" s="50"/>
      <c r="G14" s="50"/>
      <c r="H14" s="50"/>
      <c r="I14" s="15"/>
      <c r="J14" s="15"/>
      <c r="K14" s="15"/>
      <c r="L14" s="15"/>
      <c r="M14" s="86"/>
      <c r="N14" s="86"/>
      <c r="O14" s="86"/>
      <c r="P14" s="86"/>
      <c r="Q14" s="86"/>
      <c r="R14" s="86"/>
      <c r="S14" s="15"/>
      <c r="T14" s="15"/>
      <c r="AD14" s="12"/>
      <c r="AE14" s="12"/>
      <c r="AF14" s="12"/>
      <c r="AG14" s="12"/>
      <c r="AH14" s="12"/>
      <c r="AI14" s="12"/>
      <c r="AJ14" s="12"/>
      <c r="AK14" s="11"/>
      <c r="AL14" s="11"/>
      <c r="AM14" s="11"/>
      <c r="AN14" s="11"/>
      <c r="AO14" s="11"/>
      <c r="AP14" s="11"/>
    </row>
    <row r="15" spans="1:42" ht="19.2" customHeight="1" x14ac:dyDescent="0.3">
      <c r="B15" s="86"/>
      <c r="C15" s="86"/>
      <c r="D15" s="50"/>
      <c r="E15" s="50"/>
      <c r="F15" s="50"/>
      <c r="G15" s="50"/>
      <c r="H15" s="50"/>
      <c r="S15" s="15"/>
      <c r="T15" s="15"/>
      <c r="AJ15" s="7"/>
    </row>
    <row r="16" spans="1:42" ht="19.2" customHeight="1" x14ac:dyDescent="0.3">
      <c r="AJ16" s="1"/>
    </row>
    <row r="17" ht="19.2" customHeight="1" x14ac:dyDescent="0.3"/>
    <row r="18" ht="19.2" customHeight="1" x14ac:dyDescent="0.3"/>
    <row r="19" ht="19.2" customHeight="1" x14ac:dyDescent="0.3"/>
    <row r="20" ht="19.2" customHeight="1" x14ac:dyDescent="0.3"/>
    <row r="21" ht="19.2" customHeight="1" x14ac:dyDescent="0.3"/>
    <row r="22" ht="19.2" customHeight="1" x14ac:dyDescent="0.3"/>
  </sheetData>
  <mergeCells count="9">
    <mergeCell ref="M10:R14"/>
    <mergeCell ref="A8:AI8"/>
    <mergeCell ref="C2:C3"/>
    <mergeCell ref="B11:C15"/>
    <mergeCell ref="A1:AJ1"/>
    <mergeCell ref="A2:A3"/>
    <mergeCell ref="B2:B3"/>
    <mergeCell ref="AI2:AI3"/>
    <mergeCell ref="AJ2:AJ3"/>
  </mergeCells>
  <phoneticPr fontId="6" type="noConversion"/>
  <conditionalFormatting sqref="A7:AH7">
    <cfRule type="containsText" dxfId="17" priority="1218" operator="containsText" text="U">
      <formula>NOT(ISERROR(SEARCH("U",A7)))</formula>
    </cfRule>
    <cfRule type="containsText" dxfId="16" priority="1219" operator="containsText" text="F">
      <formula>NOT(ISERROR(SEARCH("F",A7)))</formula>
    </cfRule>
    <cfRule type="containsText" dxfId="15" priority="1220" operator="containsText" text="H">
      <formula>NOT(ISERROR(SEARCH("H",A7)))</formula>
    </cfRule>
    <cfRule type="containsText" dxfId="14" priority="1221" operator="containsText" text="L">
      <formula>NOT(ISERROR(SEARCH("L",A7)))</formula>
    </cfRule>
    <cfRule type="containsText" dxfId="13" priority="1222" operator="containsText" text="S">
      <formula>NOT(ISERROR(SEARCH("S",A7)))</formula>
    </cfRule>
    <cfRule type="containsText" dxfId="12" priority="1223" operator="containsText" text="P">
      <formula>NOT(ISERROR(SEARCH("P",A7)))</formula>
    </cfRule>
    <cfRule type="containsText" dxfId="11" priority="1224" operator="containsText" text="A">
      <formula>NOT(ISERROR(SEARCH("A",A7)))</formula>
    </cfRule>
  </conditionalFormatting>
  <conditionalFormatting sqref="A16:A1048576 A1:A3">
    <cfRule type="duplicateValues" dxfId="10" priority="1679"/>
  </conditionalFormatting>
  <conditionalFormatting sqref="A4:A6">
    <cfRule type="duplicateValues" dxfId="9" priority="1690"/>
  </conditionalFormatting>
  <pageMargins left="0.26033333333333297" right="0.26624999999999999" top="1.1655833333333301" bottom="0.75" header="0.3" footer="0.3"/>
  <pageSetup paperSize="9" scale="74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E7BD-0DF4-4E60-9EF4-77B4BBD44D29}">
  <sheetPr>
    <pageSetUpPr fitToPage="1"/>
  </sheetPr>
  <dimension ref="A1:AN31"/>
  <sheetViews>
    <sheetView showGridLines="0" tabSelected="1" zoomScaleNormal="100" workbookViewId="0">
      <selection activeCell="J14" sqref="J14"/>
    </sheetView>
  </sheetViews>
  <sheetFormatPr defaultRowHeight="14.4" x14ac:dyDescent="0.3"/>
  <cols>
    <col min="1" max="1" width="8.5546875" bestFit="1" customWidth="1"/>
    <col min="2" max="2" width="24.77734375" style="1" bestFit="1" customWidth="1"/>
    <col min="3" max="3" width="11.5546875" bestFit="1" customWidth="1"/>
    <col min="4" max="4" width="5" bestFit="1" customWidth="1"/>
    <col min="5" max="5" width="4.6640625" bestFit="1" customWidth="1"/>
    <col min="6" max="6" width="4.88671875" bestFit="1" customWidth="1"/>
    <col min="7" max="7" width="4.21875" bestFit="1" customWidth="1"/>
    <col min="8" max="8" width="3.5546875" bestFit="1" customWidth="1"/>
    <col min="9" max="9" width="3.6640625" bestFit="1" customWidth="1"/>
    <col min="10" max="10" width="4.21875" bestFit="1" customWidth="1"/>
    <col min="11" max="11" width="5" bestFit="1" customWidth="1"/>
    <col min="12" max="12" width="4.109375" bestFit="1" customWidth="1"/>
    <col min="13" max="13" width="4.88671875" bestFit="1" customWidth="1"/>
    <col min="14" max="14" width="4.21875" bestFit="1" customWidth="1"/>
    <col min="15" max="15" width="3.5546875" bestFit="1" customWidth="1"/>
    <col min="16" max="16" width="3.6640625" bestFit="1" customWidth="1"/>
    <col min="17" max="17" width="4.21875" bestFit="1" customWidth="1"/>
    <col min="18" max="18" width="5" bestFit="1" customWidth="1"/>
    <col min="19" max="19" width="4.109375" bestFit="1" customWidth="1"/>
    <col min="20" max="22" width="4.109375" customWidth="1"/>
    <col min="23" max="23" width="4.109375" bestFit="1" customWidth="1"/>
    <col min="24" max="24" width="4.21875" bestFit="1" customWidth="1"/>
    <col min="25" max="25" width="5" bestFit="1" customWidth="1"/>
    <col min="26" max="26" width="4.109375" bestFit="1" customWidth="1"/>
    <col min="27" max="34" width="4.109375" customWidth="1"/>
    <col min="35" max="35" width="4.88671875" bestFit="1" customWidth="1"/>
  </cols>
  <sheetData>
    <row r="1" spans="1:35" ht="42" customHeight="1" x14ac:dyDescent="0.3">
      <c r="A1" s="96" t="s">
        <v>29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ht="43.8" customHeight="1" x14ac:dyDescent="0.3">
      <c r="A2" s="70" t="s">
        <v>0</v>
      </c>
      <c r="B2" s="71" t="s">
        <v>1</v>
      </c>
      <c r="C2" s="70" t="s">
        <v>3</v>
      </c>
      <c r="D2" s="59">
        <v>46097</v>
      </c>
      <c r="E2" s="59">
        <v>46098</v>
      </c>
      <c r="F2" s="59">
        <v>46099</v>
      </c>
      <c r="G2" s="59">
        <v>46100</v>
      </c>
      <c r="H2" s="59">
        <v>46101</v>
      </c>
      <c r="I2" s="59">
        <v>46102</v>
      </c>
      <c r="J2" s="59">
        <v>46103</v>
      </c>
      <c r="K2" s="59">
        <v>46104</v>
      </c>
      <c r="L2" s="59">
        <v>46105</v>
      </c>
      <c r="M2" s="59">
        <v>46106</v>
      </c>
      <c r="N2" s="59">
        <v>46107</v>
      </c>
      <c r="O2" s="59">
        <v>46108</v>
      </c>
      <c r="P2" s="59">
        <v>46109</v>
      </c>
      <c r="Q2" s="59">
        <v>46110</v>
      </c>
      <c r="R2" s="59">
        <v>46111</v>
      </c>
      <c r="S2" s="59">
        <v>46112</v>
      </c>
      <c r="T2" s="59">
        <v>46113</v>
      </c>
      <c r="U2" s="59">
        <v>46114</v>
      </c>
      <c r="V2" s="59">
        <v>46115</v>
      </c>
      <c r="W2" s="59">
        <v>46116</v>
      </c>
      <c r="X2" s="59">
        <v>46117</v>
      </c>
      <c r="Y2" s="59">
        <v>46118</v>
      </c>
      <c r="Z2" s="59">
        <v>46119</v>
      </c>
      <c r="AA2" s="59">
        <v>46120</v>
      </c>
      <c r="AB2" s="59">
        <v>46121</v>
      </c>
      <c r="AC2" s="59">
        <v>46122</v>
      </c>
      <c r="AD2" s="59">
        <v>46123</v>
      </c>
      <c r="AE2" s="59">
        <v>46124</v>
      </c>
      <c r="AF2" s="59">
        <v>46125</v>
      </c>
      <c r="AG2" s="59">
        <v>46126</v>
      </c>
      <c r="AH2" s="59">
        <v>46127</v>
      </c>
      <c r="AI2" s="94" t="s">
        <v>2</v>
      </c>
    </row>
    <row r="3" spans="1:35" ht="21.6" customHeight="1" x14ac:dyDescent="0.3">
      <c r="A3" s="70"/>
      <c r="B3" s="71"/>
      <c r="C3" s="70"/>
      <c r="D3" s="51" t="str">
        <f t="shared" ref="D3:AH3" si="0">TEXT(D2,"ddd")</f>
        <v>Mon</v>
      </c>
      <c r="E3" s="51" t="str">
        <f t="shared" si="0"/>
        <v>Tue</v>
      </c>
      <c r="F3" s="51" t="str">
        <f t="shared" si="0"/>
        <v>Wed</v>
      </c>
      <c r="G3" s="51" t="str">
        <f t="shared" si="0"/>
        <v>Thu</v>
      </c>
      <c r="H3" s="51" t="str">
        <f t="shared" si="0"/>
        <v>Fri</v>
      </c>
      <c r="I3" s="51" t="str">
        <f t="shared" si="0"/>
        <v>Sat</v>
      </c>
      <c r="J3" s="51" t="str">
        <f t="shared" si="0"/>
        <v>Sun</v>
      </c>
      <c r="K3" s="51" t="str">
        <f t="shared" si="0"/>
        <v>Mon</v>
      </c>
      <c r="L3" s="51" t="str">
        <f t="shared" si="0"/>
        <v>Tue</v>
      </c>
      <c r="M3" s="51" t="str">
        <f t="shared" si="0"/>
        <v>Wed</v>
      </c>
      <c r="N3" s="51" t="str">
        <f t="shared" si="0"/>
        <v>Thu</v>
      </c>
      <c r="O3" s="61" t="str">
        <f t="shared" si="0"/>
        <v>Fri</v>
      </c>
      <c r="P3" s="51" t="str">
        <f t="shared" si="0"/>
        <v>Sat</v>
      </c>
      <c r="Q3" s="51" t="str">
        <f t="shared" si="0"/>
        <v>Sun</v>
      </c>
      <c r="R3" s="51" t="str">
        <f t="shared" si="0"/>
        <v>Mon</v>
      </c>
      <c r="S3" s="51" t="str">
        <f t="shared" si="0"/>
        <v>Tue</v>
      </c>
      <c r="T3" s="51" t="str">
        <f t="shared" si="0"/>
        <v>Wed</v>
      </c>
      <c r="U3" s="51" t="str">
        <f t="shared" si="0"/>
        <v>Thu</v>
      </c>
      <c r="V3" s="51" t="str">
        <f t="shared" si="0"/>
        <v>Fri</v>
      </c>
      <c r="W3" s="51" t="str">
        <f t="shared" si="0"/>
        <v>Sat</v>
      </c>
      <c r="X3" s="51" t="str">
        <f t="shared" si="0"/>
        <v>Sun</v>
      </c>
      <c r="Y3" s="51" t="str">
        <f t="shared" si="0"/>
        <v>Mon</v>
      </c>
      <c r="Z3" s="51" t="str">
        <f t="shared" si="0"/>
        <v>Tue</v>
      </c>
      <c r="AA3" s="51" t="str">
        <f t="shared" si="0"/>
        <v>Wed</v>
      </c>
      <c r="AB3" s="51" t="str">
        <f t="shared" si="0"/>
        <v>Thu</v>
      </c>
      <c r="AC3" s="51" t="str">
        <f t="shared" si="0"/>
        <v>Fri</v>
      </c>
      <c r="AD3" s="51" t="str">
        <f t="shared" si="0"/>
        <v>Sat</v>
      </c>
      <c r="AE3" s="51" t="str">
        <f t="shared" si="0"/>
        <v>Sun</v>
      </c>
      <c r="AF3" s="51" t="str">
        <f t="shared" si="0"/>
        <v>Mon</v>
      </c>
      <c r="AG3" s="51" t="str">
        <f t="shared" si="0"/>
        <v>Tue</v>
      </c>
      <c r="AH3" s="51" t="str">
        <f t="shared" si="0"/>
        <v>Wed</v>
      </c>
      <c r="AI3" s="94"/>
    </row>
    <row r="4" spans="1:35" ht="25.2" customHeight="1" x14ac:dyDescent="0.3">
      <c r="A4" s="60">
        <v>3990</v>
      </c>
      <c r="B4" s="60" t="s">
        <v>10</v>
      </c>
      <c r="C4" s="60" t="s">
        <v>11</v>
      </c>
      <c r="D4" s="17" t="s">
        <v>28</v>
      </c>
      <c r="E4" s="17" t="s">
        <v>28</v>
      </c>
      <c r="F4" s="17" t="s">
        <v>28</v>
      </c>
      <c r="G4" s="17" t="s">
        <v>28</v>
      </c>
      <c r="H4" s="63">
        <v>4</v>
      </c>
      <c r="I4" s="17">
        <v>4</v>
      </c>
      <c r="J4" s="17">
        <v>4</v>
      </c>
      <c r="K4" s="17">
        <v>4</v>
      </c>
      <c r="L4" s="17">
        <v>2</v>
      </c>
      <c r="M4" s="55">
        <v>1</v>
      </c>
      <c r="N4" s="55">
        <v>1</v>
      </c>
      <c r="O4" s="62">
        <v>8</v>
      </c>
      <c r="P4" s="55">
        <v>1</v>
      </c>
      <c r="Q4" s="55">
        <v>1</v>
      </c>
      <c r="R4" s="55">
        <v>1</v>
      </c>
      <c r="S4" s="55">
        <v>1</v>
      </c>
      <c r="T4" s="55">
        <v>1</v>
      </c>
      <c r="U4" s="55">
        <v>1</v>
      </c>
      <c r="V4" s="62"/>
      <c r="W4" s="55">
        <v>1</v>
      </c>
      <c r="X4" s="55">
        <v>1</v>
      </c>
      <c r="Y4" s="55">
        <v>1</v>
      </c>
      <c r="Z4" s="55">
        <v>1</v>
      </c>
      <c r="AA4" s="55">
        <v>1</v>
      </c>
      <c r="AB4" s="55">
        <v>1</v>
      </c>
      <c r="AC4" s="62"/>
      <c r="AD4" s="55">
        <v>1</v>
      </c>
      <c r="AE4" s="55">
        <v>1</v>
      </c>
      <c r="AF4" s="55">
        <v>1</v>
      </c>
      <c r="AG4" s="55">
        <v>1</v>
      </c>
      <c r="AH4" s="55">
        <v>1</v>
      </c>
      <c r="AI4" s="17">
        <f>SUM(D4:AH4)</f>
        <v>45</v>
      </c>
    </row>
    <row r="5" spans="1:35" ht="25.2" customHeight="1" x14ac:dyDescent="0.3">
      <c r="A5" s="60">
        <v>4217</v>
      </c>
      <c r="B5" s="60" t="s">
        <v>8</v>
      </c>
      <c r="C5" s="60" t="s">
        <v>11</v>
      </c>
      <c r="D5" s="17" t="s">
        <v>28</v>
      </c>
      <c r="E5" s="17" t="s">
        <v>28</v>
      </c>
      <c r="F5" s="17" t="s">
        <v>28</v>
      </c>
      <c r="G5" s="17" t="s">
        <v>28</v>
      </c>
      <c r="H5" s="63">
        <v>4</v>
      </c>
      <c r="I5" s="17">
        <v>4</v>
      </c>
      <c r="J5" s="17">
        <v>4</v>
      </c>
      <c r="K5" s="17">
        <v>4</v>
      </c>
      <c r="L5" s="17">
        <v>2</v>
      </c>
      <c r="M5" s="55">
        <v>1</v>
      </c>
      <c r="N5" s="55">
        <v>1</v>
      </c>
      <c r="O5" s="62"/>
      <c r="P5" s="55">
        <v>1</v>
      </c>
      <c r="Q5" s="55">
        <v>1</v>
      </c>
      <c r="R5" s="55">
        <v>1</v>
      </c>
      <c r="S5" s="55">
        <v>1</v>
      </c>
      <c r="T5" s="55">
        <v>1</v>
      </c>
      <c r="U5" s="55">
        <v>1</v>
      </c>
      <c r="V5" s="62"/>
      <c r="W5" s="55">
        <v>1</v>
      </c>
      <c r="X5" s="55">
        <v>1</v>
      </c>
      <c r="Y5" s="55">
        <v>1</v>
      </c>
      <c r="Z5" s="55">
        <v>1</v>
      </c>
      <c r="AA5" s="55">
        <v>1</v>
      </c>
      <c r="AB5" s="55">
        <v>1</v>
      </c>
      <c r="AC5" s="62"/>
      <c r="AD5" s="55">
        <v>1</v>
      </c>
      <c r="AE5" s="55">
        <v>1</v>
      </c>
      <c r="AF5" s="55">
        <v>1</v>
      </c>
      <c r="AG5" s="55">
        <v>1</v>
      </c>
      <c r="AH5" s="55">
        <v>1</v>
      </c>
      <c r="AI5" s="17">
        <f t="shared" ref="AI5:AI10" si="1">SUM(D5:AH5)</f>
        <v>37</v>
      </c>
    </row>
    <row r="6" spans="1:35" ht="25.2" customHeight="1" x14ac:dyDescent="0.3">
      <c r="A6" s="60">
        <v>3857</v>
      </c>
      <c r="B6" s="60" t="s">
        <v>7</v>
      </c>
      <c r="C6" s="60" t="s">
        <v>11</v>
      </c>
      <c r="D6" s="17" t="s">
        <v>28</v>
      </c>
      <c r="E6" s="17" t="s">
        <v>28</v>
      </c>
      <c r="F6" s="17" t="s">
        <v>28</v>
      </c>
      <c r="G6" s="17" t="s">
        <v>28</v>
      </c>
      <c r="H6" s="63">
        <v>4</v>
      </c>
      <c r="I6" s="17">
        <v>4</v>
      </c>
      <c r="J6" s="17">
        <v>4</v>
      </c>
      <c r="K6" s="17">
        <v>4</v>
      </c>
      <c r="L6" s="17">
        <v>2</v>
      </c>
      <c r="M6" s="55">
        <v>1</v>
      </c>
      <c r="N6" s="55">
        <v>1</v>
      </c>
      <c r="O6" s="62"/>
      <c r="P6" s="55">
        <v>1</v>
      </c>
      <c r="Q6" s="55">
        <v>1</v>
      </c>
      <c r="R6" s="55">
        <v>1</v>
      </c>
      <c r="S6" s="55">
        <v>1</v>
      </c>
      <c r="T6" s="55">
        <v>1</v>
      </c>
      <c r="U6" s="55">
        <v>1</v>
      </c>
      <c r="V6" s="62"/>
      <c r="W6" s="55">
        <v>1</v>
      </c>
      <c r="X6" s="55">
        <v>1</v>
      </c>
      <c r="Y6" s="55">
        <v>1</v>
      </c>
      <c r="Z6" s="55">
        <v>1</v>
      </c>
      <c r="AA6" s="55">
        <v>1</v>
      </c>
      <c r="AB6" s="55">
        <v>1</v>
      </c>
      <c r="AC6" s="62"/>
      <c r="AD6" s="55">
        <v>1</v>
      </c>
      <c r="AE6" s="55">
        <v>1</v>
      </c>
      <c r="AF6" s="55">
        <v>1</v>
      </c>
      <c r="AG6" s="55">
        <v>1</v>
      </c>
      <c r="AH6" s="55">
        <v>1</v>
      </c>
      <c r="AI6" s="17">
        <f t="shared" si="1"/>
        <v>37</v>
      </c>
    </row>
    <row r="7" spans="1:35" ht="25.2" customHeight="1" x14ac:dyDescent="0.3">
      <c r="A7" s="21">
        <v>2843</v>
      </c>
      <c r="B7" s="20" t="s">
        <v>30</v>
      </c>
      <c r="C7" s="60" t="s">
        <v>22</v>
      </c>
      <c r="D7" s="17">
        <v>3</v>
      </c>
      <c r="E7" s="17" t="s">
        <v>28</v>
      </c>
      <c r="F7" s="17" t="s">
        <v>28</v>
      </c>
      <c r="G7" s="105" t="s">
        <v>41</v>
      </c>
      <c r="H7" s="106"/>
      <c r="I7" s="106"/>
      <c r="J7" s="106"/>
      <c r="K7" s="107"/>
      <c r="L7" s="17">
        <v>1</v>
      </c>
      <c r="M7" s="55">
        <v>1</v>
      </c>
      <c r="N7" s="55">
        <v>1</v>
      </c>
      <c r="O7" s="62"/>
      <c r="P7" s="55">
        <v>1</v>
      </c>
      <c r="Q7" s="55">
        <v>1</v>
      </c>
      <c r="R7" s="55">
        <v>1</v>
      </c>
      <c r="S7" s="55">
        <v>1</v>
      </c>
      <c r="T7" s="55">
        <v>1</v>
      </c>
      <c r="U7" s="55">
        <v>1</v>
      </c>
      <c r="V7" s="62"/>
      <c r="W7" s="55">
        <v>1</v>
      </c>
      <c r="X7" s="55">
        <v>1</v>
      </c>
      <c r="Y7" s="55">
        <v>1</v>
      </c>
      <c r="Z7" s="55">
        <v>1</v>
      </c>
      <c r="AA7" s="55">
        <v>1</v>
      </c>
      <c r="AB7" s="55">
        <v>1</v>
      </c>
      <c r="AC7" s="62"/>
      <c r="AD7" s="55">
        <v>1</v>
      </c>
      <c r="AE7" s="55">
        <v>1</v>
      </c>
      <c r="AF7" s="55">
        <v>1</v>
      </c>
      <c r="AG7" s="55">
        <v>1</v>
      </c>
      <c r="AH7" s="55">
        <v>1</v>
      </c>
      <c r="AI7" s="17">
        <f t="shared" si="1"/>
        <v>23</v>
      </c>
    </row>
    <row r="8" spans="1:35" ht="25.2" customHeight="1" x14ac:dyDescent="0.3">
      <c r="A8" s="21">
        <v>3850</v>
      </c>
      <c r="B8" s="20" t="s">
        <v>34</v>
      </c>
      <c r="C8" s="60" t="s">
        <v>22</v>
      </c>
      <c r="D8" s="17" t="s">
        <v>28</v>
      </c>
      <c r="E8" s="17" t="s">
        <v>28</v>
      </c>
      <c r="F8" s="17" t="s">
        <v>28</v>
      </c>
      <c r="G8" s="108"/>
      <c r="H8" s="109"/>
      <c r="I8" s="109"/>
      <c r="J8" s="109"/>
      <c r="K8" s="110"/>
      <c r="L8" s="17">
        <v>1</v>
      </c>
      <c r="M8" s="55">
        <v>1</v>
      </c>
      <c r="N8" s="55">
        <v>1</v>
      </c>
      <c r="O8" s="62"/>
      <c r="P8" s="55">
        <v>1</v>
      </c>
      <c r="Q8" s="55">
        <v>1</v>
      </c>
      <c r="R8" s="55">
        <v>1</v>
      </c>
      <c r="S8" s="55">
        <v>1</v>
      </c>
      <c r="T8" s="55">
        <v>4</v>
      </c>
      <c r="U8" s="55">
        <v>1</v>
      </c>
      <c r="V8" s="62">
        <v>8</v>
      </c>
      <c r="W8" s="55">
        <v>1</v>
      </c>
      <c r="X8" s="55">
        <v>1</v>
      </c>
      <c r="Y8" s="55">
        <v>1</v>
      </c>
      <c r="Z8" s="55">
        <v>1</v>
      </c>
      <c r="AA8" s="55">
        <v>1</v>
      </c>
      <c r="AB8" s="55">
        <v>1</v>
      </c>
      <c r="AC8" s="62"/>
      <c r="AD8" s="55">
        <v>1</v>
      </c>
      <c r="AE8" s="55">
        <v>1</v>
      </c>
      <c r="AF8" s="55">
        <v>1</v>
      </c>
      <c r="AG8" s="55">
        <v>1</v>
      </c>
      <c r="AH8" s="55">
        <v>1</v>
      </c>
      <c r="AI8" s="17">
        <f t="shared" si="1"/>
        <v>31</v>
      </c>
    </row>
    <row r="9" spans="1:35" ht="25.2" customHeight="1" x14ac:dyDescent="0.3">
      <c r="A9" s="21">
        <v>3898</v>
      </c>
      <c r="B9" s="60" t="s">
        <v>36</v>
      </c>
      <c r="C9" s="60" t="s">
        <v>22</v>
      </c>
      <c r="D9" s="17" t="s">
        <v>28</v>
      </c>
      <c r="E9" s="17" t="s">
        <v>28</v>
      </c>
      <c r="F9" s="17">
        <v>3</v>
      </c>
      <c r="G9" s="108"/>
      <c r="H9" s="109"/>
      <c r="I9" s="109"/>
      <c r="J9" s="109"/>
      <c r="K9" s="110"/>
      <c r="L9" s="17">
        <v>1</v>
      </c>
      <c r="M9" s="55">
        <v>1</v>
      </c>
      <c r="N9" s="55">
        <v>1</v>
      </c>
      <c r="O9" s="62"/>
      <c r="P9" s="55">
        <v>1</v>
      </c>
      <c r="Q9" s="55">
        <v>1</v>
      </c>
      <c r="R9" s="55">
        <v>1</v>
      </c>
      <c r="S9" s="55">
        <v>1</v>
      </c>
      <c r="T9" s="55">
        <v>1</v>
      </c>
      <c r="U9" s="55">
        <v>1</v>
      </c>
      <c r="V9" s="62"/>
      <c r="W9" s="55">
        <v>1</v>
      </c>
      <c r="X9" s="55">
        <v>1</v>
      </c>
      <c r="Y9" s="55">
        <v>1</v>
      </c>
      <c r="Z9" s="55">
        <v>1</v>
      </c>
      <c r="AA9" s="55">
        <v>1</v>
      </c>
      <c r="AB9" s="55">
        <v>1</v>
      </c>
      <c r="AC9" s="62"/>
      <c r="AD9" s="55">
        <v>1</v>
      </c>
      <c r="AE9" s="55">
        <v>1</v>
      </c>
      <c r="AF9" s="55">
        <v>1</v>
      </c>
      <c r="AG9" s="55">
        <v>1</v>
      </c>
      <c r="AH9" s="55">
        <v>1</v>
      </c>
      <c r="AI9" s="17">
        <f t="shared" si="1"/>
        <v>23</v>
      </c>
    </row>
    <row r="10" spans="1:35" ht="25.2" customHeight="1" x14ac:dyDescent="0.3">
      <c r="A10" s="21">
        <v>2694</v>
      </c>
      <c r="B10" s="20" t="s">
        <v>40</v>
      </c>
      <c r="C10" s="60" t="s">
        <v>37</v>
      </c>
      <c r="D10" s="17">
        <v>1</v>
      </c>
      <c r="E10" s="17">
        <v>1</v>
      </c>
      <c r="F10" s="17">
        <v>1</v>
      </c>
      <c r="G10" s="108"/>
      <c r="H10" s="109"/>
      <c r="I10" s="109"/>
      <c r="J10" s="109"/>
      <c r="K10" s="110"/>
      <c r="L10" s="17">
        <v>1</v>
      </c>
      <c r="M10" s="17">
        <v>1</v>
      </c>
      <c r="N10" s="17">
        <v>1</v>
      </c>
      <c r="O10" s="62">
        <v>4</v>
      </c>
      <c r="P10" s="17">
        <v>1</v>
      </c>
      <c r="Q10" s="17">
        <v>1</v>
      </c>
      <c r="R10" s="17">
        <v>1</v>
      </c>
      <c r="S10" s="17">
        <v>1</v>
      </c>
      <c r="T10" s="17">
        <v>1</v>
      </c>
      <c r="U10" s="17">
        <v>1</v>
      </c>
      <c r="V10" s="62">
        <v>4</v>
      </c>
      <c r="W10" s="17">
        <v>1</v>
      </c>
      <c r="X10" s="17">
        <v>1</v>
      </c>
      <c r="Y10" s="17">
        <v>1</v>
      </c>
      <c r="Z10" s="17">
        <v>1</v>
      </c>
      <c r="AA10" s="17">
        <v>1</v>
      </c>
      <c r="AB10" s="17">
        <v>1</v>
      </c>
      <c r="AC10" s="62">
        <v>4</v>
      </c>
      <c r="AD10" s="17">
        <v>1</v>
      </c>
      <c r="AE10" s="17">
        <v>1</v>
      </c>
      <c r="AF10" s="17">
        <v>1</v>
      </c>
      <c r="AG10" s="17">
        <v>1</v>
      </c>
      <c r="AH10" s="17">
        <v>1</v>
      </c>
      <c r="AI10" s="17">
        <f t="shared" si="1"/>
        <v>35</v>
      </c>
    </row>
    <row r="11" spans="1:35" ht="25.2" customHeight="1" x14ac:dyDescent="0.3">
      <c r="B11"/>
    </row>
    <row r="12" spans="1:35" ht="25.2" customHeight="1" x14ac:dyDescent="0.3">
      <c r="B12"/>
      <c r="L12" s="111" t="s">
        <v>5</v>
      </c>
      <c r="M12" s="111"/>
      <c r="N12" s="111"/>
      <c r="O12" s="111"/>
    </row>
    <row r="13" spans="1:35" ht="25.2" customHeight="1" x14ac:dyDescent="0.3">
      <c r="B13"/>
    </row>
    <row r="14" spans="1:35" ht="25.2" customHeight="1" x14ac:dyDescent="0.3">
      <c r="B14"/>
      <c r="G14" s="14"/>
      <c r="H14" s="15"/>
      <c r="I14" s="15"/>
      <c r="J14" s="15"/>
      <c r="K14" s="15"/>
    </row>
    <row r="15" spans="1:35" ht="25.2" customHeight="1" x14ac:dyDescent="0.3">
      <c r="B15"/>
      <c r="G15" s="50"/>
      <c r="H15" s="50"/>
      <c r="I15" s="15"/>
      <c r="J15" s="15"/>
      <c r="K15" s="15"/>
    </row>
    <row r="16" spans="1:35" ht="25.2" customHeight="1" x14ac:dyDescent="0.3">
      <c r="B16"/>
      <c r="G16" s="50"/>
      <c r="H16" s="50"/>
      <c r="I16" s="15"/>
      <c r="J16" s="15"/>
      <c r="K16" s="15"/>
    </row>
    <row r="17" spans="1:40" ht="19.2" customHeight="1" x14ac:dyDescent="0.3">
      <c r="E17" s="14"/>
      <c r="F17" s="14"/>
      <c r="G17" s="50"/>
      <c r="H17" s="50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 spans="1:40" ht="19.2" customHeight="1" x14ac:dyDescent="0.3">
      <c r="A18" s="15"/>
      <c r="B18" s="86"/>
      <c r="C18" s="86"/>
      <c r="D18" s="50"/>
      <c r="E18" s="50"/>
      <c r="F18" s="50"/>
      <c r="G18" s="50"/>
      <c r="H18" s="50"/>
      <c r="I18" s="15"/>
      <c r="J18" s="15"/>
      <c r="K18" s="15"/>
      <c r="L18" s="15"/>
      <c r="M18" s="15"/>
    </row>
    <row r="19" spans="1:40" ht="14.4" customHeight="1" x14ac:dyDescent="0.3">
      <c r="A19" s="15"/>
      <c r="B19" s="86"/>
      <c r="C19" s="86"/>
      <c r="D19" s="50"/>
      <c r="E19" s="50"/>
      <c r="F19" s="50"/>
      <c r="G19" s="50"/>
      <c r="H19" s="50"/>
      <c r="L19" s="15"/>
      <c r="M19" s="15"/>
      <c r="AJ19" s="11"/>
      <c r="AK19" s="11"/>
      <c r="AL19" s="11"/>
      <c r="AM19" s="11"/>
      <c r="AN19" s="11"/>
    </row>
    <row r="20" spans="1:40" ht="14.4" customHeight="1" x14ac:dyDescent="0.3">
      <c r="A20" s="15"/>
      <c r="B20" s="86"/>
      <c r="C20" s="86"/>
      <c r="D20" s="50"/>
      <c r="E20" s="50"/>
      <c r="F20" s="50"/>
      <c r="L20" s="15"/>
      <c r="M20" s="15"/>
    </row>
    <row r="21" spans="1:40" ht="14.4" customHeight="1" x14ac:dyDescent="0.3">
      <c r="B21" s="86"/>
      <c r="C21" s="86"/>
      <c r="D21" s="50"/>
      <c r="E21" s="50"/>
      <c r="F21" s="50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spans="1:40" ht="14.4" customHeight="1" x14ac:dyDescent="0.3">
      <c r="B22" s="86"/>
      <c r="C22" s="86"/>
      <c r="D22" s="50"/>
      <c r="E22" s="50"/>
      <c r="F22" s="50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spans="1:40" ht="14.4" customHeight="1" x14ac:dyDescent="0.3"/>
    <row r="24" spans="1:40" ht="19.2" customHeight="1" x14ac:dyDescent="0.3"/>
    <row r="25" spans="1:40" ht="19.2" customHeight="1" x14ac:dyDescent="0.3"/>
    <row r="26" spans="1:40" ht="19.2" customHeight="1" x14ac:dyDescent="0.3"/>
    <row r="27" spans="1:40" ht="19.2" customHeight="1" x14ac:dyDescent="0.3"/>
    <row r="28" spans="1:40" ht="19.2" customHeight="1" x14ac:dyDescent="0.3"/>
    <row r="29" spans="1:40" ht="19.2" customHeight="1" x14ac:dyDescent="0.3"/>
    <row r="30" spans="1:40" ht="19.2" customHeight="1" x14ac:dyDescent="0.3"/>
    <row r="31" spans="1:40" ht="19.2" customHeight="1" x14ac:dyDescent="0.3"/>
  </sheetData>
  <mergeCells count="7">
    <mergeCell ref="B18:C22"/>
    <mergeCell ref="A1:AI1"/>
    <mergeCell ref="A2:A3"/>
    <mergeCell ref="B2:B3"/>
    <mergeCell ref="C2:C3"/>
    <mergeCell ref="AI2:AI3"/>
    <mergeCell ref="G7:K10"/>
  </mergeCells>
  <conditionalFormatting sqref="A23:A1048576 A1:A3">
    <cfRule type="duplicateValues" dxfId="8" priority="5"/>
  </conditionalFormatting>
  <conditionalFormatting sqref="A4:A6">
    <cfRule type="duplicateValues" dxfId="7" priority="1698"/>
  </conditionalFormatting>
  <conditionalFormatting sqref="B7:B8">
    <cfRule type="duplicateValues" dxfId="6" priority="1702"/>
  </conditionalFormatting>
  <conditionalFormatting sqref="B10">
    <cfRule type="duplicateValues" dxfId="5" priority="1"/>
  </conditionalFormatting>
  <pageMargins left="0.26033333333333297" right="0.26624999999999999" top="1.1655833333333301" bottom="0.75" header="0.3" footer="0.3"/>
  <pageSetup paperSize="9" scale="77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FAE7-FBA9-4805-B3E3-A728343542D9}">
  <sheetPr>
    <pageSetUpPr fitToPage="1"/>
  </sheetPr>
  <dimension ref="A1:AL33"/>
  <sheetViews>
    <sheetView showGridLines="0" zoomScaleNormal="100" workbookViewId="0">
      <selection activeCell="AJ14" sqref="AJ14"/>
    </sheetView>
  </sheetViews>
  <sheetFormatPr defaultRowHeight="14.4" x14ac:dyDescent="0.3"/>
  <cols>
    <col min="1" max="1" width="8.5546875" bestFit="1" customWidth="1"/>
    <col min="2" max="2" width="24.77734375" style="1" bestFit="1" customWidth="1"/>
    <col min="3" max="3" width="9.5546875" bestFit="1" customWidth="1"/>
    <col min="4" max="4" width="5" bestFit="1" customWidth="1"/>
    <col min="5" max="5" width="4.6640625" bestFit="1" customWidth="1"/>
    <col min="6" max="6" width="4.88671875" bestFit="1" customWidth="1"/>
    <col min="7" max="7" width="4.21875" bestFit="1" customWidth="1"/>
    <col min="8" max="8" width="3.5546875" bestFit="1" customWidth="1"/>
    <col min="9" max="9" width="3.6640625" bestFit="1" customWidth="1"/>
    <col min="10" max="10" width="4.21875" bestFit="1" customWidth="1"/>
    <col min="11" max="11" width="5" bestFit="1" customWidth="1"/>
    <col min="12" max="12" width="4.109375" bestFit="1" customWidth="1"/>
    <col min="13" max="13" width="4.88671875" bestFit="1" customWidth="1"/>
    <col min="14" max="14" width="4.21875" bestFit="1" customWidth="1"/>
    <col min="15" max="15" width="3.5546875" bestFit="1" customWidth="1"/>
    <col min="16" max="16" width="3.6640625" bestFit="1" customWidth="1"/>
    <col min="17" max="17" width="4.21875" bestFit="1" customWidth="1"/>
    <col min="18" max="18" width="5" bestFit="1" customWidth="1"/>
    <col min="19" max="19" width="4.109375" bestFit="1" customWidth="1"/>
    <col min="20" max="20" width="4.88671875" bestFit="1" customWidth="1"/>
    <col min="21" max="21" width="4.21875" bestFit="1" customWidth="1"/>
    <col min="22" max="22" width="3.5546875" bestFit="1" customWidth="1"/>
    <col min="23" max="23" width="3.6640625" bestFit="1" customWidth="1"/>
    <col min="24" max="24" width="4.21875" bestFit="1" customWidth="1"/>
    <col min="25" max="25" width="5" bestFit="1" customWidth="1"/>
    <col min="26" max="26" width="4.109375" bestFit="1" customWidth="1"/>
    <col min="27" max="27" width="4.88671875" bestFit="1" customWidth="1"/>
    <col min="28" max="28" width="4.21875" bestFit="1" customWidth="1"/>
    <col min="29" max="29" width="5.5546875" customWidth="1"/>
    <col min="30" max="30" width="3.6640625" bestFit="1" customWidth="1"/>
    <col min="31" max="31" width="4.21875" bestFit="1" customWidth="1"/>
    <col min="32" max="32" width="4.6640625" bestFit="1" customWidth="1"/>
  </cols>
  <sheetData>
    <row r="1" spans="1:32" ht="42" customHeight="1" thickBot="1" x14ac:dyDescent="0.35">
      <c r="A1" s="90" t="s">
        <v>29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</row>
    <row r="2" spans="1:32" ht="43.8" customHeight="1" x14ac:dyDescent="0.3">
      <c r="A2" s="74" t="s">
        <v>0</v>
      </c>
      <c r="B2" s="92" t="s">
        <v>1</v>
      </c>
      <c r="C2" s="80" t="s">
        <v>3</v>
      </c>
      <c r="D2" s="46">
        <v>46097</v>
      </c>
      <c r="E2" s="46">
        <v>46098</v>
      </c>
      <c r="F2" s="46">
        <v>46099</v>
      </c>
      <c r="G2" s="46">
        <v>46100</v>
      </c>
      <c r="H2" s="46">
        <v>46101</v>
      </c>
      <c r="I2" s="46">
        <v>46102</v>
      </c>
      <c r="J2" s="46">
        <v>46103</v>
      </c>
      <c r="K2" s="46">
        <v>46104</v>
      </c>
      <c r="L2" s="46">
        <v>46105</v>
      </c>
      <c r="M2" s="46">
        <v>46106</v>
      </c>
      <c r="N2" s="46">
        <v>46107</v>
      </c>
      <c r="O2" s="46">
        <v>46108</v>
      </c>
      <c r="P2" s="46">
        <v>46109</v>
      </c>
      <c r="Q2" s="46">
        <v>46110</v>
      </c>
      <c r="R2" s="46">
        <v>46111</v>
      </c>
      <c r="S2" s="46">
        <v>46112</v>
      </c>
      <c r="T2" s="46">
        <v>46113</v>
      </c>
      <c r="U2" s="46">
        <v>46114</v>
      </c>
      <c r="V2" s="46">
        <v>46115</v>
      </c>
      <c r="W2" s="46">
        <v>46116</v>
      </c>
      <c r="X2" s="46">
        <v>46117</v>
      </c>
      <c r="Y2" s="46">
        <v>46118</v>
      </c>
      <c r="Z2" s="46">
        <v>46119</v>
      </c>
      <c r="AA2" s="46">
        <v>46120</v>
      </c>
      <c r="AB2" s="46">
        <v>46121</v>
      </c>
      <c r="AC2" s="46">
        <v>46122</v>
      </c>
      <c r="AD2" s="46">
        <v>46123</v>
      </c>
      <c r="AE2" s="46">
        <v>46124</v>
      </c>
      <c r="AF2" s="93" t="s">
        <v>2</v>
      </c>
    </row>
    <row r="3" spans="1:32" ht="21.6" customHeight="1" thickBot="1" x14ac:dyDescent="0.35">
      <c r="A3" s="69"/>
      <c r="B3" s="71"/>
      <c r="C3" s="70"/>
      <c r="D3" s="51" t="str">
        <f t="shared" ref="D3:AE3" si="0">TEXT(D2,"ddd")</f>
        <v>Mon</v>
      </c>
      <c r="E3" s="51" t="str">
        <f t="shared" si="0"/>
        <v>Tue</v>
      </c>
      <c r="F3" s="51" t="str">
        <f t="shared" si="0"/>
        <v>Wed</v>
      </c>
      <c r="G3" s="51" t="str">
        <f t="shared" si="0"/>
        <v>Thu</v>
      </c>
      <c r="H3" s="51" t="str">
        <f t="shared" si="0"/>
        <v>Fri</v>
      </c>
      <c r="I3" s="51" t="str">
        <f t="shared" si="0"/>
        <v>Sat</v>
      </c>
      <c r="J3" s="51" t="str">
        <f t="shared" si="0"/>
        <v>Sun</v>
      </c>
      <c r="K3" s="51" t="str">
        <f t="shared" si="0"/>
        <v>Mon</v>
      </c>
      <c r="L3" s="51" t="str">
        <f t="shared" si="0"/>
        <v>Tue</v>
      </c>
      <c r="M3" s="51" t="str">
        <f t="shared" si="0"/>
        <v>Wed</v>
      </c>
      <c r="N3" s="51" t="str">
        <f t="shared" si="0"/>
        <v>Thu</v>
      </c>
      <c r="O3" s="51" t="str">
        <f t="shared" si="0"/>
        <v>Fri</v>
      </c>
      <c r="P3" s="51" t="str">
        <f t="shared" si="0"/>
        <v>Sat</v>
      </c>
      <c r="Q3" s="51" t="str">
        <f t="shared" si="0"/>
        <v>Sun</v>
      </c>
      <c r="R3" s="51" t="str">
        <f t="shared" si="0"/>
        <v>Mon</v>
      </c>
      <c r="S3" s="51" t="str">
        <f t="shared" si="0"/>
        <v>Tue</v>
      </c>
      <c r="T3" s="51" t="str">
        <f t="shared" si="0"/>
        <v>Wed</v>
      </c>
      <c r="U3" s="51" t="str">
        <f t="shared" si="0"/>
        <v>Thu</v>
      </c>
      <c r="V3" s="51" t="str">
        <f t="shared" si="0"/>
        <v>Fri</v>
      </c>
      <c r="W3" s="51" t="str">
        <f t="shared" si="0"/>
        <v>Sat</v>
      </c>
      <c r="X3" s="51" t="str">
        <f t="shared" si="0"/>
        <v>Sun</v>
      </c>
      <c r="Y3" s="51" t="str">
        <f t="shared" si="0"/>
        <v>Mon</v>
      </c>
      <c r="Z3" s="51" t="str">
        <f t="shared" si="0"/>
        <v>Tue</v>
      </c>
      <c r="AA3" s="51" t="str">
        <f t="shared" si="0"/>
        <v>Wed</v>
      </c>
      <c r="AB3" s="51" t="str">
        <f t="shared" si="0"/>
        <v>Thu</v>
      </c>
      <c r="AC3" s="51" t="str">
        <f t="shared" si="0"/>
        <v>Fri</v>
      </c>
      <c r="AD3" s="51" t="str">
        <f t="shared" si="0"/>
        <v>Sat</v>
      </c>
      <c r="AE3" s="51" t="str">
        <f t="shared" si="0"/>
        <v>Sun</v>
      </c>
      <c r="AF3" s="104"/>
    </row>
    <row r="4" spans="1:32" ht="25.2" customHeight="1" thickBot="1" x14ac:dyDescent="0.35">
      <c r="A4" s="47">
        <v>3990</v>
      </c>
      <c r="B4" s="8" t="s">
        <v>10</v>
      </c>
      <c r="C4" s="8" t="s">
        <v>11</v>
      </c>
      <c r="D4" s="17" t="s">
        <v>28</v>
      </c>
      <c r="E4" s="17" t="s">
        <v>28</v>
      </c>
      <c r="F4" s="17" t="s">
        <v>28</v>
      </c>
      <c r="G4" s="17" t="s">
        <v>28</v>
      </c>
      <c r="H4" s="22">
        <v>4</v>
      </c>
      <c r="I4" s="17">
        <v>4</v>
      </c>
      <c r="J4" s="17">
        <v>4</v>
      </c>
      <c r="K4" s="17">
        <v>4</v>
      </c>
      <c r="L4" s="17">
        <v>2</v>
      </c>
      <c r="M4" s="98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54">
        <f>SUM(D4:L4)</f>
        <v>18</v>
      </c>
    </row>
    <row r="5" spans="1:32" ht="25.2" customHeight="1" thickBot="1" x14ac:dyDescent="0.35">
      <c r="A5" s="47">
        <v>4217</v>
      </c>
      <c r="B5" s="8" t="s">
        <v>8</v>
      </c>
      <c r="C5" s="8" t="s">
        <v>11</v>
      </c>
      <c r="D5" s="17" t="s">
        <v>28</v>
      </c>
      <c r="E5" s="17" t="s">
        <v>28</v>
      </c>
      <c r="F5" s="17" t="s">
        <v>28</v>
      </c>
      <c r="G5" s="17" t="s">
        <v>28</v>
      </c>
      <c r="H5" s="22">
        <v>4</v>
      </c>
      <c r="I5" s="17">
        <v>4</v>
      </c>
      <c r="J5" s="17">
        <v>4</v>
      </c>
      <c r="K5" s="17">
        <v>4</v>
      </c>
      <c r="L5" s="17">
        <v>2</v>
      </c>
      <c r="M5" s="100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54">
        <f t="shared" ref="AF5:AF13" si="1">SUM(D5:L5)</f>
        <v>18</v>
      </c>
    </row>
    <row r="6" spans="1:32" ht="25.2" customHeight="1" thickBot="1" x14ac:dyDescent="0.35">
      <c r="A6" s="47">
        <v>3857</v>
      </c>
      <c r="B6" s="8" t="s">
        <v>7</v>
      </c>
      <c r="C6" s="8" t="s">
        <v>11</v>
      </c>
      <c r="D6" s="17" t="s">
        <v>28</v>
      </c>
      <c r="E6" s="17" t="s">
        <v>28</v>
      </c>
      <c r="F6" s="17" t="s">
        <v>28</v>
      </c>
      <c r="G6" s="17" t="s">
        <v>28</v>
      </c>
      <c r="H6" s="22">
        <v>4</v>
      </c>
      <c r="I6" s="17">
        <v>4</v>
      </c>
      <c r="J6" s="17">
        <v>4</v>
      </c>
      <c r="K6" s="17">
        <v>4</v>
      </c>
      <c r="L6" s="17">
        <v>2</v>
      </c>
      <c r="M6" s="100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54">
        <f t="shared" si="1"/>
        <v>18</v>
      </c>
    </row>
    <row r="7" spans="1:32" ht="25.2" customHeight="1" thickBot="1" x14ac:dyDescent="0.35">
      <c r="A7" s="47">
        <v>4092</v>
      </c>
      <c r="B7" s="8" t="s">
        <v>9</v>
      </c>
      <c r="C7" s="8" t="s">
        <v>12</v>
      </c>
      <c r="D7" s="17" t="s">
        <v>28</v>
      </c>
      <c r="E7" s="17" t="s">
        <v>28</v>
      </c>
      <c r="F7" s="17" t="s">
        <v>28</v>
      </c>
      <c r="G7" s="17" t="s">
        <v>28</v>
      </c>
      <c r="H7" s="22">
        <v>4</v>
      </c>
      <c r="I7" s="17">
        <v>4</v>
      </c>
      <c r="J7" s="17">
        <v>4</v>
      </c>
      <c r="K7" s="17">
        <v>4</v>
      </c>
      <c r="L7" s="17">
        <v>2</v>
      </c>
      <c r="M7" s="100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54">
        <f t="shared" si="1"/>
        <v>18</v>
      </c>
    </row>
    <row r="8" spans="1:32" ht="25.2" customHeight="1" thickBot="1" x14ac:dyDescent="0.35">
      <c r="A8" s="48">
        <v>2175</v>
      </c>
      <c r="B8" s="49" t="s">
        <v>13</v>
      </c>
      <c r="C8" s="49" t="s">
        <v>12</v>
      </c>
      <c r="D8" s="17" t="s">
        <v>28</v>
      </c>
      <c r="E8" s="17" t="s">
        <v>28</v>
      </c>
      <c r="F8" s="17" t="s">
        <v>28</v>
      </c>
      <c r="G8" s="17" t="s">
        <v>28</v>
      </c>
      <c r="H8" s="22">
        <v>4</v>
      </c>
      <c r="I8" s="17">
        <v>4</v>
      </c>
      <c r="J8" s="17">
        <v>4</v>
      </c>
      <c r="K8" s="17">
        <v>4</v>
      </c>
      <c r="L8" s="17">
        <v>2</v>
      </c>
      <c r="M8" s="100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54">
        <f t="shared" si="1"/>
        <v>18</v>
      </c>
    </row>
    <row r="9" spans="1:32" ht="25.2" customHeight="1" thickBot="1" x14ac:dyDescent="0.35">
      <c r="A9" s="21">
        <v>2843</v>
      </c>
      <c r="B9" s="20" t="s">
        <v>30</v>
      </c>
      <c r="C9" s="49" t="s">
        <v>22</v>
      </c>
      <c r="D9" s="27">
        <v>3</v>
      </c>
      <c r="E9" s="27" t="s">
        <v>28</v>
      </c>
      <c r="F9" s="27" t="s">
        <v>28</v>
      </c>
      <c r="G9" s="27" t="s">
        <v>28</v>
      </c>
      <c r="H9" s="28"/>
      <c r="I9" s="27" t="s">
        <v>28</v>
      </c>
      <c r="J9" s="27" t="s">
        <v>28</v>
      </c>
      <c r="K9" s="27" t="s">
        <v>28</v>
      </c>
      <c r="L9" s="27">
        <v>1</v>
      </c>
      <c r="M9" s="100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54">
        <f t="shared" si="1"/>
        <v>4</v>
      </c>
    </row>
    <row r="10" spans="1:32" ht="25.2" customHeight="1" thickBot="1" x14ac:dyDescent="0.35">
      <c r="A10" s="21">
        <v>2824</v>
      </c>
      <c r="B10" s="20" t="s">
        <v>31</v>
      </c>
      <c r="C10" s="49" t="s">
        <v>22</v>
      </c>
      <c r="D10" s="27" t="s">
        <v>28</v>
      </c>
      <c r="E10" s="27">
        <v>3</v>
      </c>
      <c r="F10" s="27" t="s">
        <v>28</v>
      </c>
      <c r="G10" s="27" t="s">
        <v>28</v>
      </c>
      <c r="H10" s="28"/>
      <c r="I10" s="27" t="s">
        <v>28</v>
      </c>
      <c r="J10" s="27" t="s">
        <v>28</v>
      </c>
      <c r="K10" s="27" t="s">
        <v>28</v>
      </c>
      <c r="L10" s="27">
        <v>1</v>
      </c>
      <c r="M10" s="100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54">
        <f t="shared" si="1"/>
        <v>4</v>
      </c>
    </row>
    <row r="11" spans="1:32" ht="25.2" customHeight="1" thickBot="1" x14ac:dyDescent="0.35">
      <c r="A11" s="21">
        <v>4907</v>
      </c>
      <c r="B11" s="20" t="s">
        <v>33</v>
      </c>
      <c r="C11" s="49" t="s">
        <v>22</v>
      </c>
      <c r="D11" s="27" t="s">
        <v>28</v>
      </c>
      <c r="E11" s="27" t="s">
        <v>28</v>
      </c>
      <c r="F11" s="27">
        <v>3</v>
      </c>
      <c r="G11" s="27" t="s">
        <v>28</v>
      </c>
      <c r="H11" s="28"/>
      <c r="I11" s="27" t="s">
        <v>28</v>
      </c>
      <c r="J11" s="27" t="s">
        <v>28</v>
      </c>
      <c r="K11" s="27" t="s">
        <v>28</v>
      </c>
      <c r="L11" s="27">
        <v>1</v>
      </c>
      <c r="M11" s="100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54">
        <f t="shared" si="1"/>
        <v>4</v>
      </c>
    </row>
    <row r="12" spans="1:32" ht="25.2" customHeight="1" thickBot="1" x14ac:dyDescent="0.35">
      <c r="A12" s="26">
        <v>3850</v>
      </c>
      <c r="B12" s="25" t="s">
        <v>34</v>
      </c>
      <c r="C12" s="49" t="s">
        <v>22</v>
      </c>
      <c r="D12" s="27" t="s">
        <v>28</v>
      </c>
      <c r="E12" s="27" t="s">
        <v>28</v>
      </c>
      <c r="F12" s="27" t="s">
        <v>28</v>
      </c>
      <c r="G12" s="27" t="s">
        <v>28</v>
      </c>
      <c r="H12" s="28"/>
      <c r="I12" s="27" t="s">
        <v>28</v>
      </c>
      <c r="J12" s="27" t="s">
        <v>28</v>
      </c>
      <c r="K12" s="27" t="s">
        <v>28</v>
      </c>
      <c r="L12" s="27">
        <v>1</v>
      </c>
      <c r="M12" s="100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54">
        <f t="shared" si="1"/>
        <v>1</v>
      </c>
    </row>
    <row r="13" spans="1:32" ht="25.2" customHeight="1" thickBot="1" x14ac:dyDescent="0.35">
      <c r="A13" s="37">
        <v>3898</v>
      </c>
      <c r="B13" s="49" t="s">
        <v>36</v>
      </c>
      <c r="C13" s="49" t="s">
        <v>22</v>
      </c>
      <c r="D13" s="27" t="s">
        <v>28</v>
      </c>
      <c r="E13" s="27" t="s">
        <v>28</v>
      </c>
      <c r="F13" s="27">
        <v>3</v>
      </c>
      <c r="G13" s="27">
        <v>3</v>
      </c>
      <c r="H13" s="28"/>
      <c r="I13" s="27" t="s">
        <v>28</v>
      </c>
      <c r="J13" s="17" t="s">
        <v>28</v>
      </c>
      <c r="K13" s="27" t="s">
        <v>28</v>
      </c>
      <c r="L13" s="27">
        <v>1</v>
      </c>
      <c r="M13" s="102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54">
        <f t="shared" si="1"/>
        <v>7</v>
      </c>
    </row>
    <row r="14" spans="1:32" ht="25.2" customHeight="1" thickBot="1" x14ac:dyDescent="0.35">
      <c r="A14" s="48"/>
      <c r="B14" s="49"/>
      <c r="C14" s="49"/>
      <c r="D14" s="27"/>
      <c r="E14" s="27"/>
      <c r="F14" s="27"/>
      <c r="G14" s="27"/>
      <c r="H14" s="28"/>
      <c r="I14" s="27"/>
      <c r="J14" s="17"/>
      <c r="K14" s="27"/>
      <c r="L14" s="27"/>
      <c r="M14" s="27"/>
      <c r="N14" s="27"/>
      <c r="O14" s="28"/>
      <c r="P14" s="27"/>
      <c r="Q14" s="27"/>
      <c r="R14" s="27"/>
      <c r="S14" s="27"/>
      <c r="T14" s="27"/>
      <c r="U14" s="27"/>
      <c r="V14" s="28"/>
      <c r="W14" s="27"/>
      <c r="X14" s="27"/>
      <c r="Y14" s="27"/>
      <c r="Z14" s="27"/>
      <c r="AA14" s="27"/>
      <c r="AB14" s="27"/>
      <c r="AC14" s="28"/>
      <c r="AD14" s="27"/>
      <c r="AE14" s="27"/>
      <c r="AF14" s="27"/>
    </row>
    <row r="15" spans="1:32" ht="25.2" customHeight="1" thickBot="1" x14ac:dyDescent="0.35">
      <c r="A15" s="48"/>
      <c r="B15" s="49"/>
      <c r="C15" s="49"/>
      <c r="D15" s="27"/>
      <c r="E15" s="27"/>
      <c r="F15" s="27"/>
      <c r="G15" s="27"/>
      <c r="H15" s="28"/>
      <c r="I15" s="27"/>
      <c r="J15" s="17"/>
      <c r="K15" s="27"/>
      <c r="L15" s="27"/>
      <c r="M15" s="27"/>
      <c r="N15" s="27"/>
      <c r="O15" s="28"/>
      <c r="P15" s="27"/>
      <c r="Q15" s="27"/>
      <c r="R15" s="27"/>
      <c r="S15" s="27"/>
      <c r="T15" s="27"/>
      <c r="U15" s="27"/>
      <c r="V15" s="28"/>
      <c r="W15" s="27"/>
      <c r="X15" s="27"/>
      <c r="Y15" s="27"/>
      <c r="Z15" s="27"/>
      <c r="AA15" s="27"/>
      <c r="AB15" s="27"/>
      <c r="AC15" s="28"/>
      <c r="AD15" s="27"/>
      <c r="AE15" s="27"/>
      <c r="AF15" s="27"/>
    </row>
    <row r="16" spans="1:32" ht="25.2" customHeight="1" thickBot="1" x14ac:dyDescent="0.35">
      <c r="A16" s="48"/>
      <c r="B16" s="49"/>
      <c r="C16" s="49"/>
      <c r="D16" s="27"/>
      <c r="E16" s="27"/>
      <c r="F16" s="27"/>
      <c r="G16" s="27"/>
      <c r="H16" s="28"/>
      <c r="I16" s="27"/>
      <c r="J16" s="17"/>
      <c r="K16" s="27"/>
      <c r="L16" s="27"/>
      <c r="M16" s="27"/>
      <c r="N16" s="27"/>
      <c r="O16" s="28"/>
      <c r="P16" s="27"/>
      <c r="Q16" s="27"/>
      <c r="R16" s="27"/>
      <c r="S16" s="27"/>
      <c r="T16" s="27"/>
      <c r="U16" s="27"/>
      <c r="V16" s="28"/>
      <c r="W16" s="27"/>
      <c r="X16" s="27"/>
      <c r="Y16" s="27"/>
      <c r="Z16" s="27"/>
      <c r="AA16" s="27"/>
      <c r="AB16" s="27"/>
      <c r="AC16" s="28"/>
      <c r="AD16" s="27"/>
      <c r="AE16" s="27"/>
      <c r="AF16" s="27"/>
    </row>
    <row r="17" spans="1:38" ht="25.2" customHeight="1" thickBot="1" x14ac:dyDescent="0.35">
      <c r="A17" s="48"/>
      <c r="B17" s="49"/>
      <c r="C17" s="49"/>
      <c r="D17" s="27"/>
      <c r="E17" s="27"/>
      <c r="F17" s="27"/>
      <c r="G17" s="27"/>
      <c r="H17" s="28"/>
      <c r="I17" s="27"/>
      <c r="J17" s="17"/>
      <c r="K17" s="27"/>
      <c r="L17" s="27"/>
      <c r="M17" s="27"/>
      <c r="N17" s="27"/>
      <c r="O17" s="28"/>
      <c r="P17" s="27"/>
      <c r="Q17" s="27"/>
      <c r="R17" s="27"/>
      <c r="S17" s="27"/>
      <c r="T17" s="27"/>
      <c r="U17" s="27"/>
      <c r="V17" s="28"/>
      <c r="W17" s="27"/>
      <c r="X17" s="27"/>
      <c r="Y17" s="27"/>
      <c r="Z17" s="27"/>
      <c r="AA17" s="27"/>
      <c r="AB17" s="27"/>
      <c r="AC17" s="28"/>
      <c r="AD17" s="27"/>
      <c r="AE17" s="27"/>
      <c r="AF17" s="27"/>
    </row>
    <row r="18" spans="1:38" ht="25.2" customHeight="1" thickBot="1" x14ac:dyDescent="0.35">
      <c r="A18" s="48"/>
      <c r="B18" s="49"/>
      <c r="C18" s="49"/>
      <c r="D18" s="27"/>
      <c r="E18" s="27"/>
      <c r="F18" s="27"/>
      <c r="G18" s="27"/>
      <c r="H18" s="28"/>
      <c r="I18" s="27"/>
      <c r="J18" s="17"/>
      <c r="K18" s="27"/>
      <c r="L18" s="27"/>
      <c r="M18" s="27"/>
      <c r="N18" s="27"/>
      <c r="O18" s="28"/>
      <c r="P18" s="27"/>
      <c r="Q18" s="27"/>
      <c r="R18" s="27"/>
      <c r="S18" s="27"/>
      <c r="T18" s="27"/>
      <c r="U18" s="27"/>
      <c r="V18" s="28"/>
      <c r="W18" s="27"/>
      <c r="X18" s="27"/>
      <c r="Y18" s="27"/>
      <c r="Z18" s="27"/>
      <c r="AA18" s="27"/>
      <c r="AB18" s="27"/>
      <c r="AC18" s="28"/>
      <c r="AD18" s="27"/>
      <c r="AE18" s="27"/>
      <c r="AF18" s="27"/>
    </row>
    <row r="19" spans="1:38" ht="19.2" customHeight="1" x14ac:dyDescent="0.3">
      <c r="A19" s="87" t="s">
        <v>4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9"/>
    </row>
    <row r="20" spans="1:38" ht="19.2" customHeight="1" x14ac:dyDescent="0.3"/>
    <row r="21" spans="1:38" ht="14.4" customHeight="1" x14ac:dyDescent="0.5">
      <c r="E21" s="14"/>
      <c r="F21" s="14"/>
      <c r="G21" s="14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X21" s="15"/>
      <c r="Y21" s="15"/>
      <c r="Z21" s="15"/>
      <c r="AD21" s="12"/>
      <c r="AE21" s="12"/>
      <c r="AF21" s="12"/>
      <c r="AG21" s="11"/>
      <c r="AH21" s="11"/>
      <c r="AI21" s="11"/>
      <c r="AJ21" s="11"/>
      <c r="AK21" s="11"/>
      <c r="AL21" s="11"/>
    </row>
    <row r="22" spans="1:38" ht="14.4" customHeight="1" x14ac:dyDescent="0.3">
      <c r="A22" s="15"/>
      <c r="B22" s="86"/>
      <c r="C22" s="86"/>
      <c r="D22" s="50"/>
      <c r="E22" s="50"/>
      <c r="F22" s="50"/>
      <c r="G22" s="50"/>
      <c r="H22" s="50"/>
      <c r="I22" s="15"/>
      <c r="J22" s="15"/>
      <c r="K22" s="15"/>
      <c r="L22" s="15"/>
      <c r="M22" s="15"/>
      <c r="X22" s="86" t="s">
        <v>37</v>
      </c>
      <c r="Y22" s="86"/>
      <c r="Z22" s="86"/>
      <c r="AA22" s="86"/>
      <c r="AB22" s="86"/>
      <c r="AC22" s="86"/>
    </row>
    <row r="23" spans="1:38" ht="14.4" customHeight="1" x14ac:dyDescent="0.3">
      <c r="A23" s="15"/>
      <c r="B23" s="86"/>
      <c r="C23" s="86"/>
      <c r="D23" s="50"/>
      <c r="E23" s="50"/>
      <c r="F23" s="50"/>
      <c r="G23" s="50"/>
      <c r="H23" s="50"/>
      <c r="I23" s="15"/>
      <c r="J23" s="15"/>
      <c r="K23" s="15"/>
      <c r="L23" s="15"/>
      <c r="M23" s="15"/>
      <c r="X23" s="86"/>
      <c r="Y23" s="86"/>
      <c r="Z23" s="86"/>
      <c r="AA23" s="86"/>
      <c r="AB23" s="86"/>
      <c r="AC23" s="86"/>
      <c r="AD23" s="15"/>
    </row>
    <row r="24" spans="1:38" ht="14.4" customHeight="1" x14ac:dyDescent="0.3">
      <c r="A24" s="15"/>
      <c r="B24" s="86"/>
      <c r="C24" s="86"/>
      <c r="D24" s="50"/>
      <c r="E24" s="50"/>
      <c r="F24" s="50"/>
      <c r="G24" s="50"/>
      <c r="H24" s="50"/>
      <c r="I24" s="15"/>
      <c r="J24" s="15"/>
      <c r="K24" s="15"/>
      <c r="L24" s="15"/>
      <c r="M24" s="15"/>
      <c r="X24" s="86"/>
      <c r="Y24" s="86"/>
      <c r="Z24" s="86"/>
      <c r="AA24" s="86"/>
      <c r="AB24" s="86"/>
      <c r="AC24" s="86"/>
    </row>
    <row r="25" spans="1:38" ht="14.4" customHeight="1" x14ac:dyDescent="0.3">
      <c r="B25" s="86"/>
      <c r="C25" s="86"/>
      <c r="D25" s="50"/>
      <c r="E25" s="50"/>
      <c r="F25" s="50"/>
      <c r="G25" s="50"/>
      <c r="H25" s="50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X25" s="86"/>
      <c r="Y25" s="86"/>
      <c r="Z25" s="86"/>
      <c r="AA25" s="86"/>
      <c r="AB25" s="86"/>
      <c r="AC25" s="86"/>
      <c r="AE25" s="11"/>
      <c r="AF25" s="11"/>
    </row>
    <row r="26" spans="1:38" ht="19.2" customHeight="1" x14ac:dyDescent="0.3">
      <c r="B26" s="86"/>
      <c r="C26" s="86"/>
      <c r="D26" s="50"/>
      <c r="E26" s="50"/>
      <c r="F26" s="50"/>
      <c r="G26" s="50"/>
      <c r="H26" s="50"/>
      <c r="S26" s="15"/>
      <c r="T26" s="15"/>
      <c r="X26" s="86"/>
      <c r="Y26" s="86"/>
      <c r="Z26" s="86"/>
      <c r="AA26" s="86"/>
      <c r="AB26" s="86"/>
      <c r="AC26" s="86"/>
    </row>
    <row r="27" spans="1:38" ht="19.2" customHeight="1" x14ac:dyDescent="0.3"/>
    <row r="28" spans="1:38" ht="19.2" customHeight="1" x14ac:dyDescent="0.3"/>
    <row r="29" spans="1:38" ht="19.2" customHeight="1" x14ac:dyDescent="0.3"/>
    <row r="30" spans="1:38" ht="19.2" customHeight="1" x14ac:dyDescent="0.3"/>
    <row r="31" spans="1:38" ht="19.2" customHeight="1" x14ac:dyDescent="0.3"/>
    <row r="32" spans="1:38" ht="19.2" customHeight="1" x14ac:dyDescent="0.3"/>
    <row r="33" ht="19.2" customHeight="1" x14ac:dyDescent="0.3"/>
  </sheetData>
  <mergeCells count="9">
    <mergeCell ref="A19:AF19"/>
    <mergeCell ref="B22:C26"/>
    <mergeCell ref="X22:AC26"/>
    <mergeCell ref="M4:AE13"/>
    <mergeCell ref="A1:AF1"/>
    <mergeCell ref="A2:A3"/>
    <mergeCell ref="B2:B3"/>
    <mergeCell ref="C2:C3"/>
    <mergeCell ref="AF2:AF3"/>
  </mergeCells>
  <conditionalFormatting sqref="A4:A7">
    <cfRule type="duplicateValues" dxfId="4" priority="12"/>
  </conditionalFormatting>
  <conditionalFormatting sqref="A27:A1048576 A1:A3">
    <cfRule type="duplicateValues" dxfId="3" priority="13"/>
  </conditionalFormatting>
  <conditionalFormatting sqref="A8 A14:A17">
    <cfRule type="duplicateValues" dxfId="2" priority="2"/>
  </conditionalFormatting>
  <conditionalFormatting sqref="B9:B12">
    <cfRule type="duplicateValues" dxfId="1" priority="1"/>
  </conditionalFormatting>
  <conditionalFormatting sqref="A18">
    <cfRule type="duplicateValues" dxfId="0" priority="1688"/>
  </conditionalFormatting>
  <pageMargins left="0.26033333333333297" right="0.26624999999999999" top="1.1655833333333301" bottom="0.75" header="0.3" footer="0.3"/>
  <pageSetup paperSize="9" scale="8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BUS DRIVER</vt:lpstr>
      <vt:lpstr>Amala Time Sheet</vt:lpstr>
      <vt:lpstr>Camp</vt:lpstr>
      <vt:lpstr>Camp (3)</vt:lpstr>
      <vt:lpstr>Camp (2)</vt:lpstr>
      <vt:lpstr>'Amala Time Sheet'!Print_Area</vt:lpstr>
      <vt:lpstr>'BUS DRIVER'!Print_Area</vt:lpstr>
      <vt:lpstr>Camp!Print_Area</vt:lpstr>
      <vt:lpstr>'Camp (2)'!Print_Area</vt:lpstr>
      <vt:lpstr>'Camp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Chandran</dc:creator>
  <cp:lastModifiedBy>servadmin</cp:lastModifiedBy>
  <cp:lastPrinted>2026-04-15T08:54:17Z</cp:lastPrinted>
  <dcterms:created xsi:type="dcterms:W3CDTF">2024-10-15T07:06:46Z</dcterms:created>
  <dcterms:modified xsi:type="dcterms:W3CDTF">2026-04-15T08:58:13Z</dcterms:modified>
</cp:coreProperties>
</file>