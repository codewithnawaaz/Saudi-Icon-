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287C6019-74DD-40D3-ACD9-8C4B4F58FCCF}" xr6:coauthVersionLast="47" xr6:coauthVersionMax="47" xr10:uidLastSave="{00000000-0000-0000-0000-000000000000}"/>
  <bookViews>
    <workbookView xWindow="-108" yWindow="-108" windowWidth="23256" windowHeight="13896" activeTab="1" xr2:uid="{D44D232D-878C-40DD-948A-663E258CC4B8}"/>
  </bookViews>
  <sheets>
    <sheet name="Mithal Al Shamal -May26" sheetId="1" r:id="rId1"/>
    <sheet name="Mithal Al Shamal -June26 " sheetId="2" r:id="rId2"/>
  </sheets>
  <definedNames>
    <definedName name="_xlnm._FilterDatabase" localSheetId="1" hidden="1">'Mithal Al Shamal -June26 '!$O$1:$O$75</definedName>
    <definedName name="_xlnm._FilterDatabase" localSheetId="0" hidden="1">'Mithal Al Shamal -May26'!$D$1:$D$21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9" i="2" l="1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S60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E59" i="2"/>
  <c r="AI12" i="2"/>
  <c r="AI13" i="2"/>
  <c r="AI32" i="2"/>
  <c r="AI33" i="2"/>
  <c r="AI34" i="2"/>
  <c r="AI50" i="2"/>
  <c r="AI51" i="2"/>
  <c r="S5" i="2"/>
  <c r="AK5" i="2" s="1"/>
  <c r="S6" i="2"/>
  <c r="AK6" i="2" s="1"/>
  <c r="S7" i="2"/>
  <c r="AK7" i="2" s="1"/>
  <c r="S8" i="2"/>
  <c r="AK8" i="2" s="1"/>
  <c r="S9" i="2"/>
  <c r="AK9" i="2" s="1"/>
  <c r="S10" i="2"/>
  <c r="AK10" i="2" s="1"/>
  <c r="S11" i="2"/>
  <c r="AK11" i="2" s="1"/>
  <c r="S12" i="2"/>
  <c r="AK12" i="2" s="1"/>
  <c r="S13" i="2"/>
  <c r="AK13" i="2" s="1"/>
  <c r="S14" i="2"/>
  <c r="AK14" i="2" s="1"/>
  <c r="S15" i="2"/>
  <c r="AI15" i="2" s="1"/>
  <c r="S16" i="2"/>
  <c r="AI16" i="2" s="1"/>
  <c r="S17" i="2"/>
  <c r="AI17" i="2" s="1"/>
  <c r="S18" i="2"/>
  <c r="AI18" i="2" s="1"/>
  <c r="S19" i="2"/>
  <c r="AI19" i="2" s="1"/>
  <c r="S20" i="2"/>
  <c r="AK20" i="2" s="1"/>
  <c r="S21" i="2"/>
  <c r="AI21" i="2" s="1"/>
  <c r="S22" i="2"/>
  <c r="AK22" i="2" s="1"/>
  <c r="S23" i="2"/>
  <c r="AI23" i="2" s="1"/>
  <c r="S24" i="2"/>
  <c r="AI24" i="2" s="1"/>
  <c r="S25" i="2"/>
  <c r="AK25" i="2" s="1"/>
  <c r="S26" i="2"/>
  <c r="AJ26" i="2" s="1"/>
  <c r="S27" i="2"/>
  <c r="AK27" i="2" s="1"/>
  <c r="S28" i="2"/>
  <c r="AK28" i="2" s="1"/>
  <c r="S29" i="2"/>
  <c r="AK29" i="2" s="1"/>
  <c r="S30" i="2"/>
  <c r="AK30" i="2" s="1"/>
  <c r="S31" i="2"/>
  <c r="AJ31" i="2" s="1"/>
  <c r="S32" i="2"/>
  <c r="AJ32" i="2" s="1"/>
  <c r="S33" i="2"/>
  <c r="AK33" i="2" s="1"/>
  <c r="S34" i="2"/>
  <c r="AK34" i="2" s="1"/>
  <c r="S35" i="2"/>
  <c r="AI35" i="2" s="1"/>
  <c r="S36" i="2"/>
  <c r="AI36" i="2" s="1"/>
  <c r="S37" i="2"/>
  <c r="AJ37" i="2" s="1"/>
  <c r="S38" i="2"/>
  <c r="S39" i="2"/>
  <c r="AI39" i="2" s="1"/>
  <c r="S40" i="2"/>
  <c r="AK40" i="2" s="1"/>
  <c r="S41" i="2"/>
  <c r="AK41" i="2" s="1"/>
  <c r="S42" i="2"/>
  <c r="AK42" i="2" s="1"/>
  <c r="S43" i="2"/>
  <c r="AI43" i="2" s="1"/>
  <c r="S44" i="2"/>
  <c r="AI44" i="2" s="1"/>
  <c r="S45" i="2"/>
  <c r="AK45" i="2" s="1"/>
  <c r="S46" i="2"/>
  <c r="AK46" i="2" s="1"/>
  <c r="S47" i="2"/>
  <c r="AK47" i="2" s="1"/>
  <c r="S48" i="2"/>
  <c r="AK48" i="2" s="1"/>
  <c r="S49" i="2"/>
  <c r="AK49" i="2" s="1"/>
  <c r="S50" i="2"/>
  <c r="AK50" i="2" s="1"/>
  <c r="S51" i="2"/>
  <c r="AK51" i="2" s="1"/>
  <c r="S52" i="2"/>
  <c r="AI52" i="2" s="1"/>
  <c r="S53" i="2"/>
  <c r="AK53" i="2" s="1"/>
  <c r="S54" i="2"/>
  <c r="AK54" i="2" s="1"/>
  <c r="S55" i="2"/>
  <c r="AI55" i="2" s="1"/>
  <c r="S56" i="2"/>
  <c r="AI56" i="2" s="1"/>
  <c r="S57" i="2"/>
  <c r="AI57" i="2" s="1"/>
  <c r="R60" i="2"/>
  <c r="F60" i="2"/>
  <c r="G60" i="2"/>
  <c r="H60" i="2"/>
  <c r="I60" i="2"/>
  <c r="J60" i="2"/>
  <c r="K60" i="2"/>
  <c r="L60" i="2"/>
  <c r="M60" i="2"/>
  <c r="N60" i="2"/>
  <c r="O60" i="2"/>
  <c r="P60" i="2"/>
  <c r="Q60" i="2"/>
  <c r="E60" i="2"/>
  <c r="AJ12" i="2"/>
  <c r="S4" i="2"/>
  <c r="E61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F58" i="2"/>
  <c r="G58" i="2"/>
  <c r="H58" i="2"/>
  <c r="I58" i="2"/>
  <c r="J58" i="2"/>
  <c r="K58" i="2"/>
  <c r="L58" i="2"/>
  <c r="M58" i="2"/>
  <c r="N58" i="2"/>
  <c r="O58" i="2"/>
  <c r="P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E58" i="2"/>
  <c r="AI49" i="2" l="1"/>
  <c r="AJ29" i="2"/>
  <c r="AJ49" i="2"/>
  <c r="AJ14" i="2"/>
  <c r="AK52" i="2"/>
  <c r="AK32" i="2"/>
  <c r="AI11" i="2"/>
  <c r="AI10" i="2"/>
  <c r="AI9" i="2"/>
  <c r="AI54" i="2"/>
  <c r="AI53" i="2"/>
  <c r="AI31" i="2"/>
  <c r="AI30" i="2"/>
  <c r="AK31" i="2"/>
  <c r="AI29" i="2"/>
  <c r="AJ9" i="2"/>
  <c r="AI14" i="2"/>
  <c r="S61" i="2"/>
  <c r="AI42" i="2"/>
  <c r="AI41" i="2"/>
  <c r="AJ6" i="2"/>
  <c r="AJ36" i="2"/>
  <c r="AJ35" i="2"/>
  <c r="AJ34" i="2"/>
  <c r="AK21" i="2"/>
  <c r="AJ33" i="2"/>
  <c r="AI22" i="2"/>
  <c r="AK44" i="2"/>
  <c r="AK43" i="2"/>
  <c r="S59" i="2"/>
  <c r="AI40" i="2"/>
  <c r="AK24" i="2"/>
  <c r="AK23" i="2"/>
  <c r="AI20" i="2"/>
  <c r="AK4" i="2"/>
  <c r="AJ25" i="2"/>
  <c r="AI28" i="2"/>
  <c r="AK38" i="2"/>
  <c r="AK18" i="2"/>
  <c r="AJ8" i="2"/>
  <c r="AI47" i="2"/>
  <c r="AI27" i="2"/>
  <c r="AI7" i="2"/>
  <c r="AK57" i="2"/>
  <c r="AK37" i="2"/>
  <c r="AK17" i="2"/>
  <c r="AJ7" i="2"/>
  <c r="AI46" i="2"/>
  <c r="AI26" i="2"/>
  <c r="AI6" i="2"/>
  <c r="AK56" i="2"/>
  <c r="AK36" i="2"/>
  <c r="AK16" i="2"/>
  <c r="AJ28" i="2"/>
  <c r="AJ27" i="2"/>
  <c r="AK39" i="2"/>
  <c r="AK19" i="2"/>
  <c r="AI48" i="2"/>
  <c r="AI8" i="2"/>
  <c r="AI45" i="2"/>
  <c r="AI25" i="2"/>
  <c r="AI5" i="2"/>
  <c r="AK55" i="2"/>
  <c r="AK35" i="2"/>
  <c r="AK15" i="2"/>
  <c r="AI38" i="2"/>
  <c r="AI37" i="2"/>
  <c r="AK26" i="2"/>
  <c r="AJ55" i="2"/>
  <c r="AK58" i="2"/>
  <c r="S58" i="2"/>
  <c r="AI58" i="2" s="1"/>
  <c r="AJ54" i="2"/>
  <c r="AJ51" i="2"/>
  <c r="AJ57" i="2"/>
  <c r="AJ56" i="2"/>
  <c r="AJ53" i="2"/>
  <c r="AJ52" i="2"/>
  <c r="AJ50" i="2"/>
  <c r="AJ40" i="2"/>
  <c r="AJ39" i="2"/>
  <c r="AJ47" i="2"/>
  <c r="AJ45" i="2"/>
  <c r="AJ22" i="2"/>
  <c r="AJ19" i="2"/>
  <c r="AJ24" i="2"/>
  <c r="AJ48" i="2"/>
  <c r="AJ21" i="2"/>
  <c r="AJ20" i="2"/>
  <c r="AJ18" i="2"/>
  <c r="AJ17" i="2"/>
  <c r="AJ42" i="2"/>
  <c r="AJ41" i="2"/>
  <c r="AJ15" i="2"/>
  <c r="AJ13" i="2"/>
  <c r="AJ38" i="2"/>
  <c r="AJ11" i="2"/>
  <c r="AJ10" i="2"/>
  <c r="AJ23" i="2"/>
  <c r="AJ46" i="2"/>
  <c r="AJ44" i="2"/>
  <c r="AJ43" i="2"/>
  <c r="AJ16" i="2"/>
  <c r="AJ30" i="2"/>
  <c r="AI4" i="2"/>
  <c r="R4" i="1"/>
  <c r="S17" i="1"/>
  <c r="R20" i="1"/>
  <c r="R21" i="1"/>
  <c r="R22" i="1"/>
  <c r="R23" i="1"/>
  <c r="R24" i="1"/>
  <c r="R5" i="1"/>
  <c r="R10" i="1"/>
  <c r="S11" i="1"/>
  <c r="S12" i="1"/>
  <c r="S13" i="1"/>
  <c r="S15" i="1"/>
  <c r="S16" i="1"/>
  <c r="S18" i="1"/>
  <c r="S19" i="1"/>
  <c r="R25" i="1"/>
  <c r="S28" i="1"/>
  <c r="J30" i="1"/>
  <c r="F30" i="1"/>
  <c r="G30" i="1"/>
  <c r="H30" i="1"/>
  <c r="I30" i="1"/>
  <c r="L30" i="1"/>
  <c r="M30" i="1"/>
  <c r="N30" i="1"/>
  <c r="S7" i="1"/>
  <c r="S9" i="1"/>
  <c r="S14" i="1"/>
  <c r="R6" i="1"/>
  <c r="R8" i="1"/>
  <c r="R26" i="1"/>
  <c r="R27" i="1"/>
  <c r="O30" i="1"/>
  <c r="P30" i="1"/>
  <c r="E30" i="1"/>
  <c r="S8" i="1"/>
  <c r="S27" i="1"/>
  <c r="S6" i="1"/>
  <c r="S26" i="1"/>
  <c r="AJ58" i="2" l="1"/>
  <c r="AJ5" i="2"/>
  <c r="AJ4" i="2"/>
  <c r="R28" i="1"/>
  <c r="R19" i="1"/>
  <c r="S25" i="1"/>
  <c r="S5" i="1"/>
  <c r="R17" i="1"/>
  <c r="R16" i="1"/>
  <c r="S10" i="1"/>
  <c r="R18" i="1"/>
  <c r="R15" i="1"/>
  <c r="R13" i="1"/>
  <c r="R12" i="1"/>
  <c r="R11" i="1"/>
  <c r="S4" i="1"/>
  <c r="S22" i="1"/>
  <c r="R9" i="1"/>
  <c r="S20" i="1"/>
  <c r="S21" i="1"/>
  <c r="R14" i="1"/>
  <c r="R7" i="1"/>
  <c r="R29" i="1" s="1"/>
  <c r="S24" i="1"/>
  <c r="S23" i="1"/>
</calcChain>
</file>

<file path=xl/sharedStrings.xml><?xml version="1.0" encoding="utf-8"?>
<sst xmlns="http://schemas.openxmlformats.org/spreadsheetml/2006/main" count="458" uniqueCount="82">
  <si>
    <t>Name #</t>
  </si>
  <si>
    <t xml:space="preserve">Designation </t>
  </si>
  <si>
    <t>Iqama No.</t>
  </si>
  <si>
    <t>A</t>
  </si>
  <si>
    <t xml:space="preserve">Absent </t>
  </si>
  <si>
    <t>S.NO.</t>
  </si>
  <si>
    <t>SAT</t>
  </si>
  <si>
    <t>SUN</t>
  </si>
  <si>
    <t>MON</t>
  </si>
  <si>
    <t>TUE</t>
  </si>
  <si>
    <t>WED</t>
  </si>
  <si>
    <t>THU</t>
  </si>
  <si>
    <t>FRI</t>
  </si>
  <si>
    <t>Sedra Phase 1 B -Roshn Project</t>
  </si>
  <si>
    <t>MD KHAYRUL HOSSEN</t>
  </si>
  <si>
    <t>MD ISLAM UDDIN</t>
  </si>
  <si>
    <t>NUR MOHAMMAD</t>
  </si>
  <si>
    <t>MD FARID MIA MD</t>
  </si>
  <si>
    <t>MIZAN MIAH</t>
  </si>
  <si>
    <t xml:space="preserve">MD ABDUL AZIZ MD JUBIR </t>
  </si>
  <si>
    <t>MD NAYEM BABU</t>
  </si>
  <si>
    <t>MD PARBEG ALI</t>
  </si>
  <si>
    <t xml:space="preserve">ABDUL BAREK MOZIBUL </t>
  </si>
  <si>
    <t>ABU BOKOR BEPARI</t>
  </si>
  <si>
    <t>MD SAMIM ALL MAMUN</t>
  </si>
  <si>
    <t>MD MIZANUR RAHMAN</t>
  </si>
  <si>
    <t>ABU KALAM SHEKDAR</t>
  </si>
  <si>
    <t>MD HABIBUR RAHMAN</t>
  </si>
  <si>
    <t>GEANUR RAHMAN</t>
  </si>
  <si>
    <t>MD BILLAL HOSSEN</t>
  </si>
  <si>
    <t>AYUB ALI AMIR KHAN</t>
  </si>
  <si>
    <t>MD ABDULLAH</t>
  </si>
  <si>
    <t>MOMEN MIA</t>
  </si>
  <si>
    <t>MD OMOR FARUK</t>
  </si>
  <si>
    <t>MD JABED HOSSEN</t>
  </si>
  <si>
    <t>MEHAR ALI</t>
  </si>
  <si>
    <t>MD YOUSUF ALI</t>
  </si>
  <si>
    <t>MD TUHIN</t>
  </si>
  <si>
    <t>MD SAJJAD</t>
  </si>
  <si>
    <t>BLUCK MASON</t>
  </si>
  <si>
    <t>HELPER</t>
  </si>
  <si>
    <t>Rental Supplier -Mithal Supplier -May -26</t>
  </si>
  <si>
    <t xml:space="preserve">Total Hours </t>
  </si>
  <si>
    <t>EID HOLIDAYS</t>
  </si>
  <si>
    <t>Total</t>
  </si>
  <si>
    <t xml:space="preserve">Daily No. of Workers </t>
  </si>
  <si>
    <t>Prepared By:</t>
  </si>
  <si>
    <t>Approved By:</t>
  </si>
  <si>
    <t>BLOCK MASON</t>
  </si>
  <si>
    <t xml:space="preserve">SUVRATO SHAYLEN </t>
  </si>
  <si>
    <t>JAHANGIR KHORSED</t>
  </si>
  <si>
    <t>TOWHID AKON</t>
  </si>
  <si>
    <t>MD SOHRAB HOSSAIN</t>
  </si>
  <si>
    <t>MD ARIF SHARIF</t>
  </si>
  <si>
    <t>MOHAMMAD CHAN MIAH</t>
  </si>
  <si>
    <t>SCAFFOLDER</t>
  </si>
  <si>
    <t>MD SHAGIR SHIKDR</t>
  </si>
  <si>
    <t>MAHABUB AKON</t>
  </si>
  <si>
    <t>RUMMAN AKON SALAM</t>
  </si>
  <si>
    <t>MD ANIS</t>
  </si>
  <si>
    <t>MD SAHIDUL ISLAM</t>
  </si>
  <si>
    <t>MD ALAMGIR MD</t>
  </si>
  <si>
    <t>ASHRAF ALI</t>
  </si>
  <si>
    <t>Md Sajjadul Sanaul</t>
  </si>
  <si>
    <t>SANIM MAHMUD</t>
  </si>
  <si>
    <t>JAMAL ABDUL KADER</t>
  </si>
  <si>
    <t>MD MUJAMMAL</t>
  </si>
  <si>
    <t>YACHIN MD</t>
  </si>
  <si>
    <t>SAIFUL ISLAM</t>
  </si>
  <si>
    <t>ALAMGIR MIRDHA</t>
  </si>
  <si>
    <t>MD ZAKIR HOSSAIN</t>
  </si>
  <si>
    <t>MOHASIN ABDUR</t>
  </si>
  <si>
    <t>MD SUMON HAOLADER</t>
  </si>
  <si>
    <t>End of the Month No</t>
  </si>
  <si>
    <t>Mason</t>
  </si>
  <si>
    <t>Days</t>
  </si>
  <si>
    <t>MD BABUL SHARDER</t>
  </si>
  <si>
    <t>MD AMANULLAH</t>
  </si>
  <si>
    <t>MD BELLAL</t>
  </si>
  <si>
    <t>MD SULTAN MONDOL</t>
  </si>
  <si>
    <t>MD TOWHID UDDIN</t>
  </si>
  <si>
    <t>MONIR LATE ABDUR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</si>
</sst>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1"/>
    </font>
    <font>
      <sz val="11"/>
      <color rgb="FF000000"/>
      <name val="Calibri"/>
      <family val="1"/>
    </font>
    <font>
      <b/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>
      <alignment vertical="center"/>
    </xf>
    <xf numFmtId="0" fontId="10" fillId="0" borderId="0"/>
  </cellStyleXfs>
  <cellXfs count="10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textRotation="90"/>
    </xf>
    <xf numFmtId="164" fontId="1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1" xfId="0" applyFill="1" applyBorder="1"/>
    <xf numFmtId="16" fontId="0" fillId="0" borderId="0" xfId="0" applyNumberFormat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11" fillId="8" borderId="0" xfId="0" applyNumberFormat="1" applyFont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3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9" borderId="8" xfId="0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9" borderId="0" xfId="0" applyFill="1" applyBorder="1" applyAlignment="1">
      <alignment vertical="center"/>
    </xf>
    <xf numFmtId="0" fontId="0" fillId="9" borderId="14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9" borderId="11" xfId="0" applyFill="1" applyBorder="1" applyAlignment="1">
      <alignment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525A7F35-A63B-4A59-A4B9-A50195916246}"/>
    <cellStyle name="Normal 3" xfId="2" xr:uid="{5A772E05-A7B8-4DA9-871F-FA8DC73D58A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9D19-BBE9-43B8-8223-250F950F1701}">
  <sheetPr>
    <pageSetUpPr fitToPage="1"/>
  </sheetPr>
  <dimension ref="A1:S36"/>
  <sheetViews>
    <sheetView workbookViewId="0">
      <selection sqref="A1:C1"/>
    </sheetView>
  </sheetViews>
  <sheetFormatPr defaultRowHeight="14.4" x14ac:dyDescent="0.3"/>
  <cols>
    <col min="2" max="2" width="12.33203125" customWidth="1"/>
    <col min="3" max="3" width="28.88671875" customWidth="1"/>
    <col min="4" max="4" width="21.109375" customWidth="1"/>
    <col min="5" max="5" width="5.21875" style="3" customWidth="1"/>
    <col min="6" max="6" width="4.6640625" style="3" customWidth="1"/>
    <col min="7" max="7" width="4.5546875" style="3" customWidth="1"/>
    <col min="8" max="8" width="4.33203125" style="9" customWidth="1"/>
    <col min="9" max="9" width="4.109375" style="3" customWidth="1"/>
    <col min="10" max="10" width="5.44140625" style="3" customWidth="1"/>
    <col min="11" max="11" width="4.6640625" style="3" customWidth="1"/>
    <col min="12" max="17" width="6.109375" style="3" customWidth="1"/>
    <col min="18" max="18" width="8.88671875" customWidth="1"/>
    <col min="19" max="19" width="8.109375" customWidth="1"/>
  </cols>
  <sheetData>
    <row r="1" spans="1:19" ht="24.75" customHeight="1" x14ac:dyDescent="0.3">
      <c r="A1" s="65" t="s">
        <v>41</v>
      </c>
      <c r="B1" s="65"/>
      <c r="C1" s="65"/>
      <c r="D1" s="66" t="s">
        <v>13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s="2" customFormat="1" ht="45" customHeight="1" x14ac:dyDescent="0.3">
      <c r="A2" s="63" t="s">
        <v>5</v>
      </c>
      <c r="B2" s="63" t="s">
        <v>2</v>
      </c>
      <c r="C2" s="63" t="s">
        <v>0</v>
      </c>
      <c r="D2" s="63" t="s">
        <v>1</v>
      </c>
      <c r="E2" s="7">
        <v>46161</v>
      </c>
      <c r="F2" s="7">
        <v>46162</v>
      </c>
      <c r="G2" s="7">
        <v>46163</v>
      </c>
      <c r="H2" s="7">
        <v>46164</v>
      </c>
      <c r="I2" s="7">
        <v>46165</v>
      </c>
      <c r="J2" s="7">
        <v>46166</v>
      </c>
      <c r="K2" s="7">
        <v>46167</v>
      </c>
      <c r="L2" s="7">
        <v>46168</v>
      </c>
      <c r="M2" s="7">
        <v>46169</v>
      </c>
      <c r="N2" s="7">
        <v>46170</v>
      </c>
      <c r="O2" s="7">
        <v>46171</v>
      </c>
      <c r="P2" s="7">
        <v>46172</v>
      </c>
      <c r="Q2" s="7">
        <v>46173</v>
      </c>
      <c r="R2" s="72" t="s">
        <v>42</v>
      </c>
      <c r="S2" s="73" t="s">
        <v>4</v>
      </c>
    </row>
    <row r="3" spans="1:19" s="2" customFormat="1" ht="33.6" customHeight="1" x14ac:dyDescent="0.3">
      <c r="A3" s="63"/>
      <c r="B3" s="63"/>
      <c r="C3" s="63"/>
      <c r="D3" s="63"/>
      <c r="E3" s="8" t="s">
        <v>9</v>
      </c>
      <c r="F3" s="8" t="s">
        <v>10</v>
      </c>
      <c r="G3" s="8" t="s">
        <v>11</v>
      </c>
      <c r="H3" s="10" t="s">
        <v>12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6</v>
      </c>
      <c r="Q3" s="8" t="s">
        <v>7</v>
      </c>
      <c r="R3" s="72"/>
      <c r="S3" s="73"/>
    </row>
    <row r="4" spans="1:19" x14ac:dyDescent="0.3">
      <c r="A4" s="1">
        <v>1</v>
      </c>
      <c r="B4" s="4">
        <v>2501956060</v>
      </c>
      <c r="C4" s="12" t="s">
        <v>14</v>
      </c>
      <c r="D4" s="4" t="s">
        <v>39</v>
      </c>
      <c r="E4" s="4">
        <v>9</v>
      </c>
      <c r="F4" s="4">
        <v>9</v>
      </c>
      <c r="G4" s="4">
        <v>9</v>
      </c>
      <c r="H4" s="6"/>
      <c r="I4" s="4">
        <v>9</v>
      </c>
      <c r="J4" s="4" t="s">
        <v>3</v>
      </c>
      <c r="K4" s="4">
        <v>9</v>
      </c>
      <c r="L4" s="70" t="s">
        <v>43</v>
      </c>
      <c r="M4" s="70"/>
      <c r="N4" s="70"/>
      <c r="O4" s="70"/>
      <c r="P4" s="70"/>
      <c r="Q4" s="5">
        <v>9</v>
      </c>
      <c r="R4" s="1">
        <f>SUM(E4:Q4)</f>
        <v>54</v>
      </c>
      <c r="S4" s="1">
        <f t="shared" ref="S4:S28" si="0">COUNTIF(E4:Q4,"A")</f>
        <v>1</v>
      </c>
    </row>
    <row r="5" spans="1:19" x14ac:dyDescent="0.3">
      <c r="A5" s="1">
        <v>2</v>
      </c>
      <c r="B5" s="4">
        <v>2510758804</v>
      </c>
      <c r="C5" s="12" t="s">
        <v>15</v>
      </c>
      <c r="D5" s="4" t="s">
        <v>39</v>
      </c>
      <c r="E5" s="4">
        <v>9</v>
      </c>
      <c r="F5" s="4">
        <v>9</v>
      </c>
      <c r="G5" s="4">
        <v>9</v>
      </c>
      <c r="H5" s="6"/>
      <c r="I5" s="4" t="s">
        <v>3</v>
      </c>
      <c r="J5" s="4" t="s">
        <v>3</v>
      </c>
      <c r="K5" s="4" t="s">
        <v>3</v>
      </c>
      <c r="L5" s="70"/>
      <c r="M5" s="70"/>
      <c r="N5" s="70"/>
      <c r="O5" s="70"/>
      <c r="P5" s="70"/>
      <c r="Q5" s="5">
        <v>9</v>
      </c>
      <c r="R5" s="1">
        <f t="shared" ref="R5:R28" si="1">SUM(E5:Q5)</f>
        <v>36</v>
      </c>
      <c r="S5" s="1">
        <f t="shared" si="0"/>
        <v>3</v>
      </c>
    </row>
    <row r="6" spans="1:19" x14ac:dyDescent="0.3">
      <c r="A6" s="1">
        <v>3</v>
      </c>
      <c r="B6" s="4">
        <v>2514944343</v>
      </c>
      <c r="C6" s="12" t="s">
        <v>16</v>
      </c>
      <c r="D6" s="4" t="s">
        <v>39</v>
      </c>
      <c r="E6" s="4">
        <v>9</v>
      </c>
      <c r="F6" s="4">
        <v>9</v>
      </c>
      <c r="G6" s="4">
        <v>9</v>
      </c>
      <c r="H6" s="6"/>
      <c r="I6" s="4" t="s">
        <v>3</v>
      </c>
      <c r="J6" s="4" t="s">
        <v>3</v>
      </c>
      <c r="K6" s="4">
        <v>9</v>
      </c>
      <c r="L6" s="70"/>
      <c r="M6" s="70"/>
      <c r="N6" s="70"/>
      <c r="O6" s="70"/>
      <c r="P6" s="70"/>
      <c r="Q6" s="5" t="s">
        <v>3</v>
      </c>
      <c r="R6" s="1">
        <f t="shared" si="1"/>
        <v>36</v>
      </c>
      <c r="S6" s="1">
        <f t="shared" si="0"/>
        <v>3</v>
      </c>
    </row>
    <row r="7" spans="1:19" x14ac:dyDescent="0.3">
      <c r="A7" s="1">
        <v>4</v>
      </c>
      <c r="B7" s="4">
        <v>2495718237</v>
      </c>
      <c r="C7" s="12" t="s">
        <v>17</v>
      </c>
      <c r="D7" s="4" t="s">
        <v>39</v>
      </c>
      <c r="E7" s="4">
        <v>9</v>
      </c>
      <c r="F7" s="4">
        <v>9</v>
      </c>
      <c r="G7" s="4">
        <v>9</v>
      </c>
      <c r="H7" s="6"/>
      <c r="I7" s="4">
        <v>9</v>
      </c>
      <c r="J7" s="4">
        <v>9</v>
      </c>
      <c r="K7" s="4">
        <v>9</v>
      </c>
      <c r="L7" s="70"/>
      <c r="M7" s="70"/>
      <c r="N7" s="70"/>
      <c r="O7" s="70"/>
      <c r="P7" s="70"/>
      <c r="Q7" s="5">
        <v>9</v>
      </c>
      <c r="R7" s="1">
        <f t="shared" si="1"/>
        <v>63</v>
      </c>
      <c r="S7" s="1">
        <f t="shared" si="0"/>
        <v>0</v>
      </c>
    </row>
    <row r="8" spans="1:19" x14ac:dyDescent="0.3">
      <c r="A8" s="1">
        <v>5</v>
      </c>
      <c r="B8" s="4">
        <v>2141991113</v>
      </c>
      <c r="C8" s="12" t="s">
        <v>18</v>
      </c>
      <c r="D8" s="4" t="s">
        <v>39</v>
      </c>
      <c r="E8" s="4">
        <v>9</v>
      </c>
      <c r="F8" s="4">
        <v>9</v>
      </c>
      <c r="G8" s="4">
        <v>9</v>
      </c>
      <c r="H8" s="6"/>
      <c r="I8" s="4">
        <v>9</v>
      </c>
      <c r="J8" s="4">
        <v>9</v>
      </c>
      <c r="K8" s="4">
        <v>9</v>
      </c>
      <c r="L8" s="70"/>
      <c r="M8" s="70"/>
      <c r="N8" s="70"/>
      <c r="O8" s="70"/>
      <c r="P8" s="70"/>
      <c r="Q8" s="5">
        <v>9</v>
      </c>
      <c r="R8" s="1">
        <f t="shared" si="1"/>
        <v>63</v>
      </c>
      <c r="S8" s="1">
        <f t="shared" si="0"/>
        <v>0</v>
      </c>
    </row>
    <row r="9" spans="1:19" x14ac:dyDescent="0.3">
      <c r="A9" s="1">
        <v>6</v>
      </c>
      <c r="B9" s="4">
        <v>2451371724</v>
      </c>
      <c r="C9" s="12" t="s">
        <v>19</v>
      </c>
      <c r="D9" s="4" t="s">
        <v>39</v>
      </c>
      <c r="E9" s="4">
        <v>9</v>
      </c>
      <c r="F9" s="4">
        <v>9</v>
      </c>
      <c r="G9" s="4">
        <v>9</v>
      </c>
      <c r="H9" s="6"/>
      <c r="I9" s="4">
        <v>9</v>
      </c>
      <c r="J9" s="4">
        <v>9</v>
      </c>
      <c r="K9" s="4">
        <v>9</v>
      </c>
      <c r="L9" s="70"/>
      <c r="M9" s="70"/>
      <c r="N9" s="70"/>
      <c r="O9" s="70"/>
      <c r="P9" s="70"/>
      <c r="Q9" s="5">
        <v>9</v>
      </c>
      <c r="R9" s="1">
        <f t="shared" si="1"/>
        <v>63</v>
      </c>
      <c r="S9" s="1">
        <f t="shared" si="0"/>
        <v>0</v>
      </c>
    </row>
    <row r="10" spans="1:19" x14ac:dyDescent="0.3">
      <c r="A10" s="1">
        <v>7</v>
      </c>
      <c r="B10" s="4">
        <v>2615598923</v>
      </c>
      <c r="C10" s="12" t="s">
        <v>20</v>
      </c>
      <c r="D10" s="4" t="s">
        <v>39</v>
      </c>
      <c r="E10" s="4">
        <v>9</v>
      </c>
      <c r="F10" s="4">
        <v>9</v>
      </c>
      <c r="G10" s="4">
        <v>9</v>
      </c>
      <c r="H10" s="6"/>
      <c r="I10" s="4">
        <v>9</v>
      </c>
      <c r="J10" s="4">
        <v>9</v>
      </c>
      <c r="K10" s="4">
        <v>9</v>
      </c>
      <c r="L10" s="70"/>
      <c r="M10" s="70"/>
      <c r="N10" s="70"/>
      <c r="O10" s="70"/>
      <c r="P10" s="70"/>
      <c r="Q10" s="5">
        <v>9</v>
      </c>
      <c r="R10" s="1">
        <f t="shared" si="1"/>
        <v>63</v>
      </c>
      <c r="S10" s="1">
        <f t="shared" si="0"/>
        <v>0</v>
      </c>
    </row>
    <row r="11" spans="1:19" x14ac:dyDescent="0.3">
      <c r="A11" s="1">
        <v>8</v>
      </c>
      <c r="B11" s="4">
        <v>2485985291</v>
      </c>
      <c r="C11" s="12" t="s">
        <v>21</v>
      </c>
      <c r="D11" s="4" t="s">
        <v>39</v>
      </c>
      <c r="E11" s="4">
        <v>9</v>
      </c>
      <c r="F11" s="4">
        <v>9</v>
      </c>
      <c r="G11" s="4">
        <v>9</v>
      </c>
      <c r="H11" s="6"/>
      <c r="I11" s="4" t="s">
        <v>3</v>
      </c>
      <c r="J11" s="4">
        <v>9</v>
      </c>
      <c r="K11" s="4">
        <v>9</v>
      </c>
      <c r="L11" s="70"/>
      <c r="M11" s="70"/>
      <c r="N11" s="70"/>
      <c r="O11" s="70"/>
      <c r="P11" s="70"/>
      <c r="Q11" s="5">
        <v>9</v>
      </c>
      <c r="R11" s="1">
        <f t="shared" si="1"/>
        <v>54</v>
      </c>
      <c r="S11" s="1">
        <f t="shared" si="0"/>
        <v>1</v>
      </c>
    </row>
    <row r="12" spans="1:19" x14ac:dyDescent="0.3">
      <c r="A12" s="1">
        <v>9</v>
      </c>
      <c r="B12" s="4">
        <v>2501284539</v>
      </c>
      <c r="C12" s="12" t="s">
        <v>29</v>
      </c>
      <c r="D12" s="4" t="s">
        <v>39</v>
      </c>
      <c r="E12" s="4" t="s">
        <v>3</v>
      </c>
      <c r="F12" s="4">
        <v>9</v>
      </c>
      <c r="G12" s="4">
        <v>9</v>
      </c>
      <c r="H12" s="6"/>
      <c r="I12" s="4">
        <v>9</v>
      </c>
      <c r="J12" s="4">
        <v>9</v>
      </c>
      <c r="K12" s="4" t="s">
        <v>3</v>
      </c>
      <c r="L12" s="70"/>
      <c r="M12" s="70"/>
      <c r="N12" s="70"/>
      <c r="O12" s="70"/>
      <c r="P12" s="70"/>
      <c r="Q12" s="5">
        <v>9</v>
      </c>
      <c r="R12" s="1">
        <f t="shared" si="1"/>
        <v>45</v>
      </c>
      <c r="S12" s="1">
        <f t="shared" si="0"/>
        <v>2</v>
      </c>
    </row>
    <row r="13" spans="1:19" x14ac:dyDescent="0.3">
      <c r="A13" s="1">
        <v>10</v>
      </c>
      <c r="B13" s="4">
        <v>2196990226</v>
      </c>
      <c r="C13" s="12" t="s">
        <v>30</v>
      </c>
      <c r="D13" s="4" t="s">
        <v>39</v>
      </c>
      <c r="E13" s="4" t="s">
        <v>3</v>
      </c>
      <c r="F13" s="4">
        <v>9</v>
      </c>
      <c r="G13" s="4">
        <v>9</v>
      </c>
      <c r="H13" s="6"/>
      <c r="I13" s="4">
        <v>9</v>
      </c>
      <c r="J13" s="4">
        <v>9</v>
      </c>
      <c r="K13" s="4">
        <v>9</v>
      </c>
      <c r="L13" s="70"/>
      <c r="M13" s="70"/>
      <c r="N13" s="70"/>
      <c r="O13" s="70"/>
      <c r="P13" s="70"/>
      <c r="Q13" s="5">
        <v>9</v>
      </c>
      <c r="R13" s="1">
        <f t="shared" si="1"/>
        <v>54</v>
      </c>
      <c r="S13" s="1">
        <f t="shared" si="0"/>
        <v>1</v>
      </c>
    </row>
    <row r="14" spans="1:19" x14ac:dyDescent="0.3">
      <c r="A14" s="1">
        <v>11</v>
      </c>
      <c r="B14" s="4">
        <v>2521159364</v>
      </c>
      <c r="C14" s="12" t="s">
        <v>31</v>
      </c>
      <c r="D14" s="4" t="s">
        <v>39</v>
      </c>
      <c r="E14" s="4" t="s">
        <v>3</v>
      </c>
      <c r="F14" s="4">
        <v>9</v>
      </c>
      <c r="G14" s="4">
        <v>9</v>
      </c>
      <c r="H14" s="6"/>
      <c r="I14" s="4">
        <v>9</v>
      </c>
      <c r="J14" s="4">
        <v>9</v>
      </c>
      <c r="K14" s="4">
        <v>9</v>
      </c>
      <c r="L14" s="70"/>
      <c r="M14" s="70"/>
      <c r="N14" s="70"/>
      <c r="O14" s="70"/>
      <c r="P14" s="70"/>
      <c r="Q14" s="5">
        <v>9</v>
      </c>
      <c r="R14" s="1">
        <f t="shared" si="1"/>
        <v>54</v>
      </c>
      <c r="S14" s="1">
        <f t="shared" si="0"/>
        <v>1</v>
      </c>
    </row>
    <row r="15" spans="1:19" x14ac:dyDescent="0.3">
      <c r="A15" s="1">
        <v>12</v>
      </c>
      <c r="B15" s="4">
        <v>2617117862</v>
      </c>
      <c r="C15" s="12" t="s">
        <v>32</v>
      </c>
      <c r="D15" s="4" t="s">
        <v>40</v>
      </c>
      <c r="E15" s="4" t="s">
        <v>3</v>
      </c>
      <c r="F15" s="4">
        <v>9</v>
      </c>
      <c r="G15" s="4" t="s">
        <v>3</v>
      </c>
      <c r="H15" s="6"/>
      <c r="I15" s="4" t="s">
        <v>3</v>
      </c>
      <c r="J15" s="4" t="s">
        <v>3</v>
      </c>
      <c r="K15" s="4" t="s">
        <v>3</v>
      </c>
      <c r="L15" s="70"/>
      <c r="M15" s="70"/>
      <c r="N15" s="70"/>
      <c r="O15" s="70"/>
      <c r="P15" s="70"/>
      <c r="Q15" s="5" t="s">
        <v>3</v>
      </c>
      <c r="R15" s="1">
        <f t="shared" si="1"/>
        <v>9</v>
      </c>
      <c r="S15" s="1">
        <f t="shared" si="0"/>
        <v>6</v>
      </c>
    </row>
    <row r="16" spans="1:19" x14ac:dyDescent="0.3">
      <c r="A16" s="1">
        <v>13</v>
      </c>
      <c r="B16" s="4">
        <v>2621180641</v>
      </c>
      <c r="C16" s="12" t="s">
        <v>33</v>
      </c>
      <c r="D16" s="4" t="s">
        <v>40</v>
      </c>
      <c r="E16" s="4" t="s">
        <v>3</v>
      </c>
      <c r="F16" s="4">
        <v>9</v>
      </c>
      <c r="G16" s="4" t="s">
        <v>3</v>
      </c>
      <c r="H16" s="6"/>
      <c r="I16" s="4" t="s">
        <v>3</v>
      </c>
      <c r="J16" s="4" t="s">
        <v>3</v>
      </c>
      <c r="K16" s="4" t="s">
        <v>3</v>
      </c>
      <c r="L16" s="70"/>
      <c r="M16" s="70"/>
      <c r="N16" s="70"/>
      <c r="O16" s="70"/>
      <c r="P16" s="70"/>
      <c r="Q16" s="5" t="s">
        <v>3</v>
      </c>
      <c r="R16" s="1">
        <f t="shared" si="1"/>
        <v>9</v>
      </c>
      <c r="S16" s="1">
        <f t="shared" si="0"/>
        <v>6</v>
      </c>
    </row>
    <row r="17" spans="1:19" x14ac:dyDescent="0.3">
      <c r="A17" s="1">
        <v>14</v>
      </c>
      <c r="B17" s="4">
        <v>2622037592</v>
      </c>
      <c r="C17" s="12" t="s">
        <v>34</v>
      </c>
      <c r="D17" s="4" t="s">
        <v>40</v>
      </c>
      <c r="E17" s="4" t="s">
        <v>3</v>
      </c>
      <c r="F17" s="4">
        <v>9</v>
      </c>
      <c r="G17" s="4" t="s">
        <v>3</v>
      </c>
      <c r="H17" s="6"/>
      <c r="I17" s="4" t="s">
        <v>3</v>
      </c>
      <c r="J17" s="4" t="s">
        <v>3</v>
      </c>
      <c r="K17" s="4" t="s">
        <v>3</v>
      </c>
      <c r="L17" s="70"/>
      <c r="M17" s="70"/>
      <c r="N17" s="70"/>
      <c r="O17" s="70"/>
      <c r="P17" s="70"/>
      <c r="Q17" s="5" t="s">
        <v>3</v>
      </c>
      <c r="R17" s="1">
        <f t="shared" si="1"/>
        <v>9</v>
      </c>
      <c r="S17" s="1">
        <f t="shared" si="0"/>
        <v>6</v>
      </c>
    </row>
    <row r="18" spans="1:19" x14ac:dyDescent="0.3">
      <c r="A18" s="1">
        <v>15</v>
      </c>
      <c r="B18" s="4">
        <v>2566448730</v>
      </c>
      <c r="C18" s="12" t="s">
        <v>35</v>
      </c>
      <c r="D18" s="4" t="s">
        <v>40</v>
      </c>
      <c r="E18" s="4" t="s">
        <v>3</v>
      </c>
      <c r="F18" s="4">
        <v>9</v>
      </c>
      <c r="G18" s="4">
        <v>9</v>
      </c>
      <c r="H18" s="6"/>
      <c r="I18" s="4">
        <v>9</v>
      </c>
      <c r="J18" s="4">
        <v>9</v>
      </c>
      <c r="K18" s="4" t="s">
        <v>3</v>
      </c>
      <c r="L18" s="70"/>
      <c r="M18" s="70"/>
      <c r="N18" s="70"/>
      <c r="O18" s="70"/>
      <c r="P18" s="70"/>
      <c r="Q18" s="5">
        <v>9</v>
      </c>
      <c r="R18" s="1">
        <f t="shared" si="1"/>
        <v>45</v>
      </c>
      <c r="S18" s="1">
        <f t="shared" si="0"/>
        <v>2</v>
      </c>
    </row>
    <row r="19" spans="1:19" x14ac:dyDescent="0.3">
      <c r="A19" s="1">
        <v>16</v>
      </c>
      <c r="B19" s="4">
        <v>2631068984</v>
      </c>
      <c r="C19" s="12" t="s">
        <v>36</v>
      </c>
      <c r="D19" s="4" t="s">
        <v>40</v>
      </c>
      <c r="E19" s="4" t="s">
        <v>3</v>
      </c>
      <c r="F19" s="4">
        <v>9</v>
      </c>
      <c r="G19" s="4" t="s">
        <v>3</v>
      </c>
      <c r="H19" s="6"/>
      <c r="I19" s="4" t="s">
        <v>3</v>
      </c>
      <c r="J19" s="4" t="s">
        <v>3</v>
      </c>
      <c r="K19" s="4" t="s">
        <v>3</v>
      </c>
      <c r="L19" s="70"/>
      <c r="M19" s="70"/>
      <c r="N19" s="70"/>
      <c r="O19" s="70"/>
      <c r="P19" s="70"/>
      <c r="Q19" s="5" t="s">
        <v>3</v>
      </c>
      <c r="R19" s="1">
        <f t="shared" si="1"/>
        <v>9</v>
      </c>
      <c r="S19" s="1">
        <f t="shared" si="0"/>
        <v>6</v>
      </c>
    </row>
    <row r="20" spans="1:19" x14ac:dyDescent="0.3">
      <c r="A20" s="1">
        <v>17</v>
      </c>
      <c r="B20" s="13">
        <v>2600263261</v>
      </c>
      <c r="C20" s="14" t="s">
        <v>37</v>
      </c>
      <c r="D20" s="4" t="s">
        <v>40</v>
      </c>
      <c r="E20" s="4" t="s">
        <v>3</v>
      </c>
      <c r="F20" s="4" t="s">
        <v>3</v>
      </c>
      <c r="G20" s="4">
        <v>9</v>
      </c>
      <c r="H20" s="6"/>
      <c r="I20" s="4" t="s">
        <v>3</v>
      </c>
      <c r="J20" s="4" t="s">
        <v>3</v>
      </c>
      <c r="K20" s="4" t="s">
        <v>3</v>
      </c>
      <c r="L20" s="70"/>
      <c r="M20" s="70"/>
      <c r="N20" s="70"/>
      <c r="O20" s="70"/>
      <c r="P20" s="70"/>
      <c r="Q20" s="5" t="s">
        <v>3</v>
      </c>
      <c r="R20" s="1">
        <f t="shared" si="1"/>
        <v>9</v>
      </c>
      <c r="S20" s="1">
        <f t="shared" si="0"/>
        <v>6</v>
      </c>
    </row>
    <row r="21" spans="1:19" x14ac:dyDescent="0.3">
      <c r="A21" s="1">
        <v>18</v>
      </c>
      <c r="B21" s="15">
        <v>2633459587</v>
      </c>
      <c r="C21" s="16" t="s">
        <v>38</v>
      </c>
      <c r="D21" s="4" t="s">
        <v>40</v>
      </c>
      <c r="E21" s="4" t="s">
        <v>3</v>
      </c>
      <c r="F21" s="4" t="s">
        <v>3</v>
      </c>
      <c r="G21" s="4">
        <v>9</v>
      </c>
      <c r="H21" s="6"/>
      <c r="I21" s="4">
        <v>9</v>
      </c>
      <c r="J21" s="4">
        <v>9</v>
      </c>
      <c r="K21" s="4">
        <v>9</v>
      </c>
      <c r="L21" s="70"/>
      <c r="M21" s="70"/>
      <c r="N21" s="70"/>
      <c r="O21" s="70"/>
      <c r="P21" s="70"/>
      <c r="Q21" s="5" t="s">
        <v>3</v>
      </c>
      <c r="R21" s="1">
        <f t="shared" si="1"/>
        <v>36</v>
      </c>
      <c r="S21" s="1">
        <f t="shared" si="0"/>
        <v>3</v>
      </c>
    </row>
    <row r="22" spans="1:19" x14ac:dyDescent="0.3">
      <c r="A22" s="1">
        <v>19</v>
      </c>
      <c r="B22" s="4">
        <v>2230258051</v>
      </c>
      <c r="C22" s="12" t="s">
        <v>22</v>
      </c>
      <c r="D22" s="4" t="s">
        <v>40</v>
      </c>
      <c r="E22" s="4">
        <v>9</v>
      </c>
      <c r="F22" s="4">
        <v>9</v>
      </c>
      <c r="G22" s="4" t="s">
        <v>3</v>
      </c>
      <c r="H22" s="6"/>
      <c r="I22" s="4">
        <v>9</v>
      </c>
      <c r="J22" s="4">
        <v>9</v>
      </c>
      <c r="K22" s="4">
        <v>9</v>
      </c>
      <c r="L22" s="70"/>
      <c r="M22" s="70"/>
      <c r="N22" s="70"/>
      <c r="O22" s="70"/>
      <c r="P22" s="70"/>
      <c r="Q22" s="5" t="s">
        <v>3</v>
      </c>
      <c r="R22" s="1">
        <f t="shared" si="1"/>
        <v>45</v>
      </c>
      <c r="S22" s="1">
        <f t="shared" si="0"/>
        <v>2</v>
      </c>
    </row>
    <row r="23" spans="1:19" ht="12.6" customHeight="1" x14ac:dyDescent="0.3">
      <c r="A23" s="1">
        <v>20</v>
      </c>
      <c r="B23" s="4">
        <v>2606452767</v>
      </c>
      <c r="C23" s="12" t="s">
        <v>23</v>
      </c>
      <c r="D23" s="4" t="s">
        <v>40</v>
      </c>
      <c r="E23" s="4">
        <v>9</v>
      </c>
      <c r="F23" s="4">
        <v>9</v>
      </c>
      <c r="G23" s="4">
        <v>9</v>
      </c>
      <c r="H23" s="6"/>
      <c r="I23" s="4">
        <v>9</v>
      </c>
      <c r="J23" s="4">
        <v>9</v>
      </c>
      <c r="K23" s="4">
        <v>9</v>
      </c>
      <c r="L23" s="70"/>
      <c r="M23" s="70"/>
      <c r="N23" s="70"/>
      <c r="O23" s="70"/>
      <c r="P23" s="70"/>
      <c r="Q23" s="5" t="s">
        <v>3</v>
      </c>
      <c r="R23" s="1">
        <f t="shared" si="1"/>
        <v>54</v>
      </c>
      <c r="S23" s="1">
        <f t="shared" si="0"/>
        <v>1</v>
      </c>
    </row>
    <row r="24" spans="1:19" x14ac:dyDescent="0.3">
      <c r="A24" s="1">
        <v>21</v>
      </c>
      <c r="B24" s="4">
        <v>2625990508</v>
      </c>
      <c r="C24" s="12" t="s">
        <v>24</v>
      </c>
      <c r="D24" s="4" t="s">
        <v>40</v>
      </c>
      <c r="E24" s="4">
        <v>9</v>
      </c>
      <c r="F24" s="4">
        <v>9</v>
      </c>
      <c r="G24" s="4">
        <v>9</v>
      </c>
      <c r="H24" s="6"/>
      <c r="I24" s="4">
        <v>9</v>
      </c>
      <c r="J24" s="4">
        <v>9</v>
      </c>
      <c r="K24" s="4">
        <v>9</v>
      </c>
      <c r="L24" s="70"/>
      <c r="M24" s="70"/>
      <c r="N24" s="70"/>
      <c r="O24" s="70"/>
      <c r="P24" s="70"/>
      <c r="Q24" s="5">
        <v>9</v>
      </c>
      <c r="R24" s="1">
        <f t="shared" si="1"/>
        <v>63</v>
      </c>
      <c r="S24" s="1">
        <f t="shared" si="0"/>
        <v>0</v>
      </c>
    </row>
    <row r="25" spans="1:19" x14ac:dyDescent="0.3">
      <c r="A25" s="1">
        <v>22</v>
      </c>
      <c r="B25" s="4">
        <v>2434461113</v>
      </c>
      <c r="C25" s="12" t="s">
        <v>25</v>
      </c>
      <c r="D25" s="4" t="s">
        <v>40</v>
      </c>
      <c r="E25" s="4">
        <v>9</v>
      </c>
      <c r="F25" s="4" t="s">
        <v>3</v>
      </c>
      <c r="G25" s="4" t="s">
        <v>3</v>
      </c>
      <c r="H25" s="6"/>
      <c r="I25" s="4" t="s">
        <v>3</v>
      </c>
      <c r="J25" s="4" t="s">
        <v>3</v>
      </c>
      <c r="K25" s="4" t="s">
        <v>3</v>
      </c>
      <c r="L25" s="70"/>
      <c r="M25" s="70"/>
      <c r="N25" s="70"/>
      <c r="O25" s="70"/>
      <c r="P25" s="70"/>
      <c r="Q25" s="5" t="s">
        <v>3</v>
      </c>
      <c r="R25" s="1">
        <f t="shared" si="1"/>
        <v>9</v>
      </c>
      <c r="S25" s="1">
        <f t="shared" si="0"/>
        <v>6</v>
      </c>
    </row>
    <row r="26" spans="1:19" x14ac:dyDescent="0.3">
      <c r="A26" s="1">
        <v>23</v>
      </c>
      <c r="B26" s="4">
        <v>2507516116</v>
      </c>
      <c r="C26" s="12" t="s">
        <v>26</v>
      </c>
      <c r="D26" s="4" t="s">
        <v>40</v>
      </c>
      <c r="E26" s="4">
        <v>9</v>
      </c>
      <c r="F26" s="4">
        <v>9</v>
      </c>
      <c r="G26" s="4">
        <v>9</v>
      </c>
      <c r="H26" s="6"/>
      <c r="I26" s="4">
        <v>9</v>
      </c>
      <c r="J26" s="4">
        <v>9</v>
      </c>
      <c r="K26" s="4">
        <v>9</v>
      </c>
      <c r="L26" s="70"/>
      <c r="M26" s="70"/>
      <c r="N26" s="70"/>
      <c r="O26" s="70"/>
      <c r="P26" s="70"/>
      <c r="Q26" s="5">
        <v>9</v>
      </c>
      <c r="R26" s="1">
        <f t="shared" si="1"/>
        <v>63</v>
      </c>
      <c r="S26" s="1">
        <f t="shared" si="0"/>
        <v>0</v>
      </c>
    </row>
    <row r="27" spans="1:19" x14ac:dyDescent="0.3">
      <c r="A27" s="1">
        <v>24</v>
      </c>
      <c r="B27" s="4">
        <v>2522119383</v>
      </c>
      <c r="C27" s="12" t="s">
        <v>27</v>
      </c>
      <c r="D27" s="4" t="s">
        <v>40</v>
      </c>
      <c r="E27" s="4">
        <v>9</v>
      </c>
      <c r="F27" s="4">
        <v>9</v>
      </c>
      <c r="G27" s="4">
        <v>9</v>
      </c>
      <c r="H27" s="6"/>
      <c r="I27" s="4">
        <v>9</v>
      </c>
      <c r="J27" s="4">
        <v>9</v>
      </c>
      <c r="K27" s="4">
        <v>9</v>
      </c>
      <c r="L27" s="70"/>
      <c r="M27" s="70"/>
      <c r="N27" s="70"/>
      <c r="O27" s="70"/>
      <c r="P27" s="70"/>
      <c r="Q27" s="5">
        <v>9</v>
      </c>
      <c r="R27" s="1">
        <f t="shared" si="1"/>
        <v>63</v>
      </c>
      <c r="S27" s="1">
        <f t="shared" si="0"/>
        <v>0</v>
      </c>
    </row>
    <row r="28" spans="1:19" x14ac:dyDescent="0.3">
      <c r="A28" s="1">
        <v>25</v>
      </c>
      <c r="B28" s="4">
        <v>2577582303</v>
      </c>
      <c r="C28" s="12" t="s">
        <v>28</v>
      </c>
      <c r="D28" s="4" t="s">
        <v>40</v>
      </c>
      <c r="E28" s="4">
        <v>9</v>
      </c>
      <c r="F28" s="4" t="s">
        <v>3</v>
      </c>
      <c r="G28" s="4" t="s">
        <v>3</v>
      </c>
      <c r="H28" s="6"/>
      <c r="I28" s="4" t="s">
        <v>3</v>
      </c>
      <c r="J28" s="4" t="s">
        <v>3</v>
      </c>
      <c r="K28" s="4" t="s">
        <v>3</v>
      </c>
      <c r="L28" s="70"/>
      <c r="M28" s="70"/>
      <c r="N28" s="70"/>
      <c r="O28" s="70"/>
      <c r="P28" s="70"/>
      <c r="Q28" s="5" t="s">
        <v>3</v>
      </c>
      <c r="R28" s="1">
        <f t="shared" si="1"/>
        <v>9</v>
      </c>
      <c r="S28" s="1">
        <f t="shared" si="0"/>
        <v>6</v>
      </c>
    </row>
    <row r="29" spans="1:19" s="18" customFormat="1" x14ac:dyDescent="0.3">
      <c r="A29"/>
      <c r="B29"/>
      <c r="C29"/>
      <c r="D29" s="5"/>
      <c r="E29" s="67"/>
      <c r="F29" s="68"/>
      <c r="G29" s="68"/>
      <c r="H29" s="68"/>
      <c r="I29" s="68"/>
      <c r="J29" s="68"/>
      <c r="K29" s="68"/>
      <c r="L29" s="69"/>
      <c r="M29" s="74" t="s">
        <v>44</v>
      </c>
      <c r="N29" s="74"/>
      <c r="O29" s="74"/>
      <c r="P29" s="74"/>
      <c r="Q29" s="74"/>
      <c r="R29" s="20">
        <f>SUM(R4:R28)</f>
        <v>1017</v>
      </c>
      <c r="S29" s="19"/>
    </row>
    <row r="30" spans="1:19" x14ac:dyDescent="0.3">
      <c r="D30" s="21" t="s">
        <v>45</v>
      </c>
      <c r="E30" s="4">
        <f>COUNTIF(E4:E28,"9")</f>
        <v>15</v>
      </c>
      <c r="F30" s="4">
        <f t="shared" ref="F30:N30" si="2">COUNTIF(F4:F28,"9")</f>
        <v>21</v>
      </c>
      <c r="G30" s="4">
        <f t="shared" si="2"/>
        <v>18</v>
      </c>
      <c r="H30" s="4">
        <f t="shared" si="2"/>
        <v>0</v>
      </c>
      <c r="I30" s="4">
        <f t="shared" si="2"/>
        <v>15</v>
      </c>
      <c r="J30" s="4">
        <f>COUNTIF(J4:J28,"9")</f>
        <v>15</v>
      </c>
      <c r="K30" s="4">
        <v>15</v>
      </c>
      <c r="L30" s="4">
        <f t="shared" si="2"/>
        <v>0</v>
      </c>
      <c r="M30" s="4">
        <f t="shared" si="2"/>
        <v>0</v>
      </c>
      <c r="N30" s="4">
        <f t="shared" si="2"/>
        <v>0</v>
      </c>
      <c r="O30" s="4">
        <f t="shared" ref="O30:P30" si="3">COUNTIF(O4:O28,"9")</f>
        <v>0</v>
      </c>
      <c r="P30" s="4">
        <f t="shared" si="3"/>
        <v>0</v>
      </c>
      <c r="Q30" s="4">
        <v>14</v>
      </c>
    </row>
    <row r="31" spans="1:19" x14ac:dyDescent="0.3">
      <c r="C31" s="64" t="s">
        <v>46</v>
      </c>
      <c r="G31" s="11"/>
      <c r="H31" s="11"/>
      <c r="I31" s="11"/>
      <c r="O31" s="17"/>
      <c r="P31" s="71" t="s">
        <v>47</v>
      </c>
      <c r="Q31" s="71"/>
      <c r="R31" s="71"/>
      <c r="S31" s="71"/>
    </row>
    <row r="32" spans="1:19" x14ac:dyDescent="0.3">
      <c r="C32" s="64"/>
      <c r="G32" s="11"/>
      <c r="H32" s="11"/>
      <c r="I32" s="11"/>
      <c r="P32" s="71"/>
      <c r="Q32" s="71"/>
      <c r="R32" s="71"/>
      <c r="S32" s="71"/>
    </row>
    <row r="33" spans="3:19" x14ac:dyDescent="0.3">
      <c r="C33" s="64"/>
      <c r="G33" s="11"/>
      <c r="H33" s="11"/>
      <c r="I33" s="11"/>
      <c r="P33" s="71"/>
      <c r="Q33" s="71"/>
      <c r="R33" s="71"/>
      <c r="S33" s="71"/>
    </row>
    <row r="34" spans="3:19" x14ac:dyDescent="0.3">
      <c r="C34" s="64"/>
      <c r="G34" s="11"/>
      <c r="H34" s="11"/>
      <c r="I34" s="11"/>
      <c r="P34" s="71"/>
      <c r="Q34" s="71"/>
      <c r="R34" s="71"/>
      <c r="S34" s="71"/>
    </row>
    <row r="35" spans="3:19" x14ac:dyDescent="0.3">
      <c r="C35" s="64"/>
      <c r="G35" s="11"/>
      <c r="H35" s="11"/>
      <c r="I35" s="11"/>
      <c r="P35" s="71"/>
      <c r="Q35" s="71"/>
      <c r="R35" s="71"/>
      <c r="S35" s="71"/>
    </row>
    <row r="36" spans="3:19" x14ac:dyDescent="0.3">
      <c r="G36" s="11"/>
      <c r="H36" s="11"/>
      <c r="I36" s="11"/>
    </row>
  </sheetData>
  <mergeCells count="13">
    <mergeCell ref="A2:A3"/>
    <mergeCell ref="B2:B3"/>
    <mergeCell ref="C31:C35"/>
    <mergeCell ref="A1:C1"/>
    <mergeCell ref="D1:S1"/>
    <mergeCell ref="E29:L29"/>
    <mergeCell ref="C2:C3"/>
    <mergeCell ref="D2:D3"/>
    <mergeCell ref="L4:P28"/>
    <mergeCell ref="P31:S35"/>
    <mergeCell ref="R2:R3"/>
    <mergeCell ref="S2:S3"/>
    <mergeCell ref="M29:Q29"/>
  </mergeCells>
  <phoneticPr fontId="2" type="noConversion"/>
  <conditionalFormatting sqref="E5:K28 E4:L4 Q4:Q28 E29">
    <cfRule type="containsText" dxfId="4" priority="1" operator="containsText" text="A">
      <formula>NOT(ISERROR(SEARCH("A",E4)))</formula>
    </cfRule>
  </conditionalFormatting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1DEE-F608-4843-8E71-E2CF579813D2}">
  <sheetPr>
    <pageSetUpPr fitToPage="1"/>
  </sheetPr>
  <dimension ref="A1:AT75"/>
  <sheetViews>
    <sheetView tabSelected="1" zoomScale="80" zoomScaleNormal="80" workbookViewId="0">
      <selection activeCell="X44" sqref="X44"/>
    </sheetView>
  </sheetViews>
  <sheetFormatPr defaultRowHeight="14.4" x14ac:dyDescent="0.3"/>
  <cols>
    <col min="1" max="1" width="5.77734375" bestFit="1" customWidth="1"/>
    <col min="2" max="2" width="12.5546875" bestFit="1" customWidth="1"/>
    <col min="3" max="3" width="23.21875" style="2" bestFit="1" customWidth="1"/>
    <col min="4" max="4" width="18.88671875" style="2" bestFit="1" customWidth="1"/>
    <col min="5" max="5" width="8.21875" style="11" bestFit="1" customWidth="1"/>
    <col min="6" max="6" width="4.88671875" style="11" bestFit="1" customWidth="1"/>
    <col min="7" max="7" width="5.109375" style="11" bestFit="1" customWidth="1"/>
    <col min="8" max="10" width="4.88671875" style="11" bestFit="1" customWidth="1"/>
    <col min="11" max="11" width="4.6640625" style="11" customWidth="1"/>
    <col min="12" max="12" width="5.109375" style="11" customWidth="1"/>
    <col min="13" max="13" width="4.88671875" style="11" bestFit="1" customWidth="1"/>
    <col min="14" max="34" width="5.6640625" style="11" bestFit="1" customWidth="1"/>
    <col min="35" max="35" width="5.88671875" bestFit="1" customWidth="1"/>
    <col min="36" max="36" width="7.33203125" bestFit="1" customWidth="1"/>
    <col min="37" max="37" width="9.77734375" bestFit="1" customWidth="1"/>
    <col min="39" max="39" width="12.109375" bestFit="1" customWidth="1"/>
    <col min="44" max="44" width="19.5546875" bestFit="1" customWidth="1"/>
  </cols>
  <sheetData>
    <row r="1" spans="1:46" ht="24.75" customHeight="1" x14ac:dyDescent="0.3">
      <c r="A1" s="65" t="s">
        <v>41</v>
      </c>
      <c r="B1" s="65"/>
      <c r="C1" s="65"/>
      <c r="D1" s="61" t="s">
        <v>13</v>
      </c>
      <c r="E1" s="30"/>
      <c r="F1" s="30"/>
      <c r="G1" s="30"/>
      <c r="H1" s="30"/>
      <c r="I1" s="30"/>
      <c r="J1" s="30"/>
      <c r="K1" s="30"/>
      <c r="L1" s="28"/>
      <c r="M1" s="28"/>
      <c r="N1" s="28"/>
      <c r="O1" s="33"/>
      <c r="P1" s="30"/>
      <c r="Q1" s="37"/>
      <c r="R1" s="40"/>
      <c r="S1" s="61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</row>
    <row r="2" spans="1:46" s="2" customFormat="1" ht="45" customHeight="1" x14ac:dyDescent="0.3">
      <c r="A2" s="63" t="s">
        <v>5</v>
      </c>
      <c r="B2" s="63" t="s">
        <v>2</v>
      </c>
      <c r="C2" s="63" t="s">
        <v>0</v>
      </c>
      <c r="D2" s="60" t="s">
        <v>1</v>
      </c>
      <c r="E2" s="7">
        <v>46174</v>
      </c>
      <c r="F2" s="7">
        <v>46175</v>
      </c>
      <c r="G2" s="7">
        <v>46176</v>
      </c>
      <c r="H2" s="7">
        <v>46177</v>
      </c>
      <c r="I2" s="7">
        <v>46178</v>
      </c>
      <c r="J2" s="7">
        <v>46179</v>
      </c>
      <c r="K2" s="7">
        <v>46180</v>
      </c>
      <c r="L2" s="7">
        <v>46181</v>
      </c>
      <c r="M2" s="7">
        <v>46182</v>
      </c>
      <c r="N2" s="7">
        <v>46183</v>
      </c>
      <c r="O2" s="7">
        <v>46184</v>
      </c>
      <c r="P2" s="7">
        <v>46185</v>
      </c>
      <c r="Q2" s="7">
        <v>46186</v>
      </c>
      <c r="R2" s="7">
        <v>46187</v>
      </c>
      <c r="S2" s="7">
        <v>46188</v>
      </c>
      <c r="T2" s="7">
        <v>46189</v>
      </c>
      <c r="U2" s="7">
        <v>46190</v>
      </c>
      <c r="V2" s="7">
        <v>46191</v>
      </c>
      <c r="W2" s="7">
        <v>46192</v>
      </c>
      <c r="X2" s="7">
        <v>46193</v>
      </c>
      <c r="Y2" s="7">
        <v>46194</v>
      </c>
      <c r="Z2" s="7">
        <v>46195</v>
      </c>
      <c r="AA2" s="7">
        <v>46196</v>
      </c>
      <c r="AB2" s="7">
        <v>46197</v>
      </c>
      <c r="AC2" s="7">
        <v>46198</v>
      </c>
      <c r="AD2" s="7">
        <v>46199</v>
      </c>
      <c r="AE2" s="7">
        <v>46200</v>
      </c>
      <c r="AF2" s="7">
        <v>46201</v>
      </c>
      <c r="AG2" s="7">
        <v>46202</v>
      </c>
      <c r="AH2" s="7">
        <v>46203</v>
      </c>
      <c r="AI2" s="79" t="s">
        <v>42</v>
      </c>
      <c r="AJ2" s="77" t="s">
        <v>4</v>
      </c>
      <c r="AK2" s="75" t="s">
        <v>73</v>
      </c>
    </row>
    <row r="3" spans="1:46" s="2" customFormat="1" x14ac:dyDescent="0.3">
      <c r="A3" s="63"/>
      <c r="B3" s="63"/>
      <c r="C3" s="63"/>
      <c r="D3" s="60"/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6</v>
      </c>
      <c r="K3" s="8" t="s">
        <v>7</v>
      </c>
      <c r="L3" s="10" t="s">
        <v>8</v>
      </c>
      <c r="M3" s="10" t="s">
        <v>9</v>
      </c>
      <c r="N3" s="10" t="s">
        <v>10</v>
      </c>
      <c r="O3" s="10" t="s">
        <v>11</v>
      </c>
      <c r="P3" s="8" t="s">
        <v>12</v>
      </c>
      <c r="Q3" s="10" t="s">
        <v>6</v>
      </c>
      <c r="R3" s="10" t="s">
        <v>7</v>
      </c>
      <c r="S3" s="10" t="s">
        <v>8</v>
      </c>
      <c r="T3" s="8" t="s">
        <v>9</v>
      </c>
      <c r="U3" s="8" t="s">
        <v>10</v>
      </c>
      <c r="V3" s="8" t="s">
        <v>11</v>
      </c>
      <c r="W3" s="8" t="s">
        <v>12</v>
      </c>
      <c r="X3" s="8" t="s">
        <v>6</v>
      </c>
      <c r="Y3" s="8" t="s">
        <v>7</v>
      </c>
      <c r="Z3" s="8" t="s">
        <v>8</v>
      </c>
      <c r="AA3" s="8" t="s">
        <v>9</v>
      </c>
      <c r="AB3" s="8" t="s">
        <v>10</v>
      </c>
      <c r="AC3" s="8" t="s">
        <v>11</v>
      </c>
      <c r="AD3" s="8" t="s">
        <v>12</v>
      </c>
      <c r="AE3" s="8" t="s">
        <v>6</v>
      </c>
      <c r="AF3" s="8" t="s">
        <v>7</v>
      </c>
      <c r="AG3" s="8" t="s">
        <v>8</v>
      </c>
      <c r="AH3" s="8" t="s">
        <v>9</v>
      </c>
      <c r="AI3" s="80"/>
      <c r="AJ3" s="78"/>
      <c r="AK3" s="75"/>
    </row>
    <row r="4" spans="1:46" x14ac:dyDescent="0.3">
      <c r="A4" s="1">
        <v>1</v>
      </c>
      <c r="B4" s="26">
        <v>2501956060</v>
      </c>
      <c r="C4" s="94" t="s">
        <v>14</v>
      </c>
      <c r="D4" s="26" t="s">
        <v>48</v>
      </c>
      <c r="E4" s="4">
        <v>8</v>
      </c>
      <c r="F4" s="4">
        <v>8</v>
      </c>
      <c r="G4" s="4" t="s">
        <v>3</v>
      </c>
      <c r="H4" s="4" t="s">
        <v>3</v>
      </c>
      <c r="I4" s="23"/>
      <c r="J4" s="4">
        <v>8</v>
      </c>
      <c r="K4" s="4">
        <v>8</v>
      </c>
      <c r="L4" s="29">
        <v>8</v>
      </c>
      <c r="M4" s="29" t="s">
        <v>3</v>
      </c>
      <c r="N4" s="29" t="s">
        <v>3</v>
      </c>
      <c r="O4" s="29">
        <v>8</v>
      </c>
      <c r="P4" s="24"/>
      <c r="Q4" s="29">
        <v>8</v>
      </c>
      <c r="R4" s="29">
        <v>8</v>
      </c>
      <c r="S4" s="29">
        <f>_xlfn.XLOOKUP(B4,AM$4:AM$44,AN$4:AN$44,"A",0)</f>
        <v>8</v>
      </c>
      <c r="T4" s="25"/>
      <c r="U4" s="25"/>
      <c r="V4" s="25"/>
      <c r="W4" s="24"/>
      <c r="X4" s="25"/>
      <c r="Y4" s="25"/>
      <c r="Z4" s="25"/>
      <c r="AA4" s="25"/>
      <c r="AB4" s="25"/>
      <c r="AC4" s="25"/>
      <c r="AD4" s="24"/>
      <c r="AE4" s="25"/>
      <c r="AF4" s="25"/>
      <c r="AG4" s="25"/>
      <c r="AH4" s="29"/>
      <c r="AI4" s="1">
        <f>SUM(E4:AH4)</f>
        <v>72</v>
      </c>
      <c r="AJ4" s="1">
        <f t="shared" ref="AJ4:AJ48" si="0">COUNTIF(E4:AH4,"A")</f>
        <v>4</v>
      </c>
      <c r="AK4" s="46">
        <f>COUNTIF(E4:AH4,"8")</f>
        <v>9</v>
      </c>
      <c r="AM4" s="81">
        <v>2451371724</v>
      </c>
      <c r="AN4">
        <v>8</v>
      </c>
    </row>
    <row r="5" spans="1:46" x14ac:dyDescent="0.3">
      <c r="A5" s="1">
        <v>2</v>
      </c>
      <c r="B5" s="26">
        <v>2514944343</v>
      </c>
      <c r="C5" s="94" t="s">
        <v>16</v>
      </c>
      <c r="D5" s="26" t="s">
        <v>48</v>
      </c>
      <c r="E5" s="4">
        <v>8</v>
      </c>
      <c r="F5" s="4">
        <v>8</v>
      </c>
      <c r="G5" s="4">
        <v>8</v>
      </c>
      <c r="H5" s="4">
        <v>8</v>
      </c>
      <c r="I5" s="23"/>
      <c r="J5" s="4">
        <v>8</v>
      </c>
      <c r="K5" s="4">
        <v>8</v>
      </c>
      <c r="L5" s="29" t="s">
        <v>3</v>
      </c>
      <c r="M5" s="29" t="s">
        <v>3</v>
      </c>
      <c r="N5" s="29" t="s">
        <v>3</v>
      </c>
      <c r="O5" s="29" t="s">
        <v>3</v>
      </c>
      <c r="P5" s="24"/>
      <c r="Q5" s="29">
        <v>8</v>
      </c>
      <c r="R5" s="29">
        <v>8</v>
      </c>
      <c r="S5" s="29">
        <f t="shared" ref="S5:S57" si="1">_xlfn.XLOOKUP(B5,AM$4:AM$44,AN$4:AN$44,"A",0)</f>
        <v>8</v>
      </c>
      <c r="T5" s="25"/>
      <c r="U5" s="25"/>
      <c r="V5" s="25"/>
      <c r="W5" s="24"/>
      <c r="X5" s="25"/>
      <c r="Y5" s="25"/>
      <c r="Z5" s="25"/>
      <c r="AA5" s="25"/>
      <c r="AB5" s="25"/>
      <c r="AC5" s="25"/>
      <c r="AD5" s="24"/>
      <c r="AE5" s="25"/>
      <c r="AF5" s="25"/>
      <c r="AG5" s="25"/>
      <c r="AH5" s="29"/>
      <c r="AI5" s="1">
        <f t="shared" ref="AI5:AI57" si="2">SUM(E5:AH5)</f>
        <v>72</v>
      </c>
      <c r="AJ5" s="1">
        <f t="shared" si="0"/>
        <v>4</v>
      </c>
      <c r="AK5" s="46">
        <f t="shared" ref="AK5:AK57" si="3">COUNTIF(E5:AH5,"8")</f>
        <v>9</v>
      </c>
      <c r="AM5" s="81">
        <v>2501284539</v>
      </c>
      <c r="AN5">
        <v>8</v>
      </c>
    </row>
    <row r="6" spans="1:46" x14ac:dyDescent="0.3">
      <c r="A6" s="1">
        <v>3</v>
      </c>
      <c r="B6" s="26">
        <v>2495718237</v>
      </c>
      <c r="C6" s="94" t="s">
        <v>17</v>
      </c>
      <c r="D6" s="26" t="s">
        <v>48</v>
      </c>
      <c r="E6" s="4">
        <v>8</v>
      </c>
      <c r="F6" s="4" t="s">
        <v>3</v>
      </c>
      <c r="G6" s="4">
        <v>8</v>
      </c>
      <c r="H6" s="4">
        <v>8</v>
      </c>
      <c r="I6" s="23"/>
      <c r="J6" s="4">
        <v>8</v>
      </c>
      <c r="K6" s="4">
        <v>8</v>
      </c>
      <c r="L6" s="29">
        <v>8</v>
      </c>
      <c r="M6" s="29">
        <v>8</v>
      </c>
      <c r="N6" s="29" t="s">
        <v>3</v>
      </c>
      <c r="O6" s="29">
        <v>8</v>
      </c>
      <c r="P6" s="24"/>
      <c r="Q6" s="29">
        <v>8</v>
      </c>
      <c r="R6" s="29">
        <v>8</v>
      </c>
      <c r="S6" s="29">
        <f t="shared" si="1"/>
        <v>8</v>
      </c>
      <c r="T6" s="25"/>
      <c r="U6" s="25"/>
      <c r="V6" s="25"/>
      <c r="W6" s="24"/>
      <c r="X6" s="25"/>
      <c r="Y6" s="25"/>
      <c r="Z6" s="25"/>
      <c r="AA6" s="25"/>
      <c r="AB6" s="25"/>
      <c r="AC6" s="25"/>
      <c r="AD6" s="24"/>
      <c r="AE6" s="25"/>
      <c r="AF6" s="25"/>
      <c r="AG6" s="25"/>
      <c r="AH6" s="29"/>
      <c r="AI6" s="1">
        <f t="shared" si="2"/>
        <v>88</v>
      </c>
      <c r="AJ6" s="1">
        <f t="shared" si="0"/>
        <v>2</v>
      </c>
      <c r="AK6" s="46">
        <f t="shared" si="3"/>
        <v>11</v>
      </c>
      <c r="AM6" s="81">
        <v>2196990226</v>
      </c>
      <c r="AN6">
        <v>8</v>
      </c>
    </row>
    <row r="7" spans="1:46" x14ac:dyDescent="0.3">
      <c r="A7" s="1">
        <v>4</v>
      </c>
      <c r="B7" s="26">
        <v>2141991113</v>
      </c>
      <c r="C7" s="94" t="s">
        <v>18</v>
      </c>
      <c r="D7" s="26" t="s">
        <v>48</v>
      </c>
      <c r="E7" s="4">
        <v>8</v>
      </c>
      <c r="F7" s="4">
        <v>8</v>
      </c>
      <c r="G7" s="4">
        <v>8</v>
      </c>
      <c r="H7" s="4" t="s">
        <v>3</v>
      </c>
      <c r="I7" s="23"/>
      <c r="J7" s="4">
        <v>8</v>
      </c>
      <c r="K7" s="4">
        <v>8</v>
      </c>
      <c r="L7" s="29">
        <v>8</v>
      </c>
      <c r="M7" s="29">
        <v>8</v>
      </c>
      <c r="N7" s="29">
        <v>8</v>
      </c>
      <c r="O7" s="29">
        <v>8</v>
      </c>
      <c r="P7" s="24"/>
      <c r="Q7" s="29">
        <v>8</v>
      </c>
      <c r="R7" s="29">
        <v>8</v>
      </c>
      <c r="S7" s="29">
        <f t="shared" si="1"/>
        <v>8</v>
      </c>
      <c r="T7" s="25"/>
      <c r="U7" s="25"/>
      <c r="V7" s="25"/>
      <c r="W7" s="24"/>
      <c r="X7" s="25"/>
      <c r="Y7" s="25"/>
      <c r="Z7" s="25"/>
      <c r="AA7" s="25"/>
      <c r="AB7" s="25"/>
      <c r="AC7" s="25"/>
      <c r="AD7" s="24"/>
      <c r="AE7" s="25"/>
      <c r="AF7" s="25"/>
      <c r="AG7" s="25"/>
      <c r="AH7" s="29"/>
      <c r="AI7" s="1">
        <f t="shared" si="2"/>
        <v>96</v>
      </c>
      <c r="AJ7" s="1">
        <f t="shared" si="0"/>
        <v>1</v>
      </c>
      <c r="AK7" s="46">
        <f t="shared" si="3"/>
        <v>12</v>
      </c>
      <c r="AM7" s="81">
        <v>2141991113</v>
      </c>
      <c r="AN7">
        <v>8</v>
      </c>
      <c r="AR7" s="17" t="s">
        <v>76</v>
      </c>
      <c r="AS7" s="17">
        <v>2608377764</v>
      </c>
      <c r="AT7" s="17" t="s">
        <v>40</v>
      </c>
    </row>
    <row r="8" spans="1:46" x14ac:dyDescent="0.3">
      <c r="A8" s="1">
        <v>5</v>
      </c>
      <c r="B8" s="26">
        <v>2451371724</v>
      </c>
      <c r="C8" s="94" t="s">
        <v>19</v>
      </c>
      <c r="D8" s="26" t="s">
        <v>48</v>
      </c>
      <c r="E8" s="4">
        <v>8</v>
      </c>
      <c r="F8" s="4">
        <v>8</v>
      </c>
      <c r="G8" s="4">
        <v>8</v>
      </c>
      <c r="H8" s="4">
        <v>8</v>
      </c>
      <c r="I8" s="23"/>
      <c r="J8" s="4">
        <v>8</v>
      </c>
      <c r="K8" s="4">
        <v>8</v>
      </c>
      <c r="L8" s="29">
        <v>8</v>
      </c>
      <c r="M8" s="29">
        <v>8</v>
      </c>
      <c r="N8" s="29">
        <v>8</v>
      </c>
      <c r="O8" s="29">
        <v>8</v>
      </c>
      <c r="P8" s="24"/>
      <c r="Q8" s="29">
        <v>8</v>
      </c>
      <c r="R8" s="29">
        <v>8</v>
      </c>
      <c r="S8" s="29">
        <f t="shared" si="1"/>
        <v>8</v>
      </c>
      <c r="T8" s="25"/>
      <c r="U8" s="25"/>
      <c r="V8" s="25"/>
      <c r="W8" s="24"/>
      <c r="X8" s="25"/>
      <c r="Y8" s="25"/>
      <c r="Z8" s="25"/>
      <c r="AA8" s="25"/>
      <c r="AB8" s="25"/>
      <c r="AC8" s="25"/>
      <c r="AD8" s="24"/>
      <c r="AE8" s="25"/>
      <c r="AF8" s="25"/>
      <c r="AG8" s="25"/>
      <c r="AH8" s="29"/>
      <c r="AI8" s="1">
        <f t="shared" si="2"/>
        <v>104</v>
      </c>
      <c r="AJ8" s="1">
        <f t="shared" si="0"/>
        <v>0</v>
      </c>
      <c r="AK8" s="46">
        <f t="shared" si="3"/>
        <v>13</v>
      </c>
      <c r="AM8" s="81">
        <v>2495718237</v>
      </c>
      <c r="AN8">
        <v>8</v>
      </c>
      <c r="AR8" s="17" t="s">
        <v>77</v>
      </c>
      <c r="AS8" s="17">
        <v>2632621773</v>
      </c>
      <c r="AT8" s="17" t="s">
        <v>40</v>
      </c>
    </row>
    <row r="9" spans="1:46" x14ac:dyDescent="0.3">
      <c r="A9" s="1">
        <v>6</v>
      </c>
      <c r="B9" s="26">
        <v>2615598923</v>
      </c>
      <c r="C9" s="94" t="s">
        <v>20</v>
      </c>
      <c r="D9" s="26" t="s">
        <v>48</v>
      </c>
      <c r="E9" s="4">
        <v>8</v>
      </c>
      <c r="F9" s="4" t="s">
        <v>3</v>
      </c>
      <c r="G9" s="4">
        <v>8</v>
      </c>
      <c r="H9" s="4">
        <v>8</v>
      </c>
      <c r="I9" s="23"/>
      <c r="J9" s="4">
        <v>8</v>
      </c>
      <c r="K9" s="4">
        <v>8</v>
      </c>
      <c r="L9" s="29" t="s">
        <v>3</v>
      </c>
      <c r="M9" s="29">
        <v>8</v>
      </c>
      <c r="N9" s="29">
        <v>8</v>
      </c>
      <c r="O9" s="29" t="s">
        <v>3</v>
      </c>
      <c r="P9" s="24"/>
      <c r="Q9" s="29">
        <v>8</v>
      </c>
      <c r="R9" s="29">
        <v>8</v>
      </c>
      <c r="S9" s="29">
        <f t="shared" si="1"/>
        <v>8</v>
      </c>
      <c r="T9" s="25"/>
      <c r="U9" s="25"/>
      <c r="V9" s="25"/>
      <c r="W9" s="24"/>
      <c r="X9" s="25"/>
      <c r="Y9" s="25"/>
      <c r="Z9" s="25"/>
      <c r="AA9" s="25"/>
      <c r="AB9" s="25"/>
      <c r="AC9" s="25"/>
      <c r="AD9" s="24"/>
      <c r="AE9" s="25"/>
      <c r="AF9" s="25"/>
      <c r="AG9" s="25"/>
      <c r="AH9" s="29"/>
      <c r="AI9" s="1">
        <f t="shared" si="2"/>
        <v>80</v>
      </c>
      <c r="AJ9" s="1">
        <f t="shared" si="0"/>
        <v>3</v>
      </c>
      <c r="AK9" s="46">
        <f t="shared" si="3"/>
        <v>10</v>
      </c>
      <c r="AM9" s="81">
        <v>2514944343</v>
      </c>
      <c r="AN9">
        <v>8</v>
      </c>
      <c r="AR9" s="17" t="s">
        <v>78</v>
      </c>
      <c r="AS9" s="17">
        <v>2592247361</v>
      </c>
      <c r="AT9" s="17" t="s">
        <v>40</v>
      </c>
    </row>
    <row r="10" spans="1:46" x14ac:dyDescent="0.3">
      <c r="A10" s="1">
        <v>7</v>
      </c>
      <c r="B10" s="26">
        <v>2485985291</v>
      </c>
      <c r="C10" s="94" t="s">
        <v>21</v>
      </c>
      <c r="D10" s="26" t="s">
        <v>48</v>
      </c>
      <c r="E10" s="4">
        <v>8</v>
      </c>
      <c r="F10" s="4">
        <v>8</v>
      </c>
      <c r="G10" s="4">
        <v>8</v>
      </c>
      <c r="H10" s="4">
        <v>8</v>
      </c>
      <c r="I10" s="23"/>
      <c r="J10" s="4">
        <v>8</v>
      </c>
      <c r="K10" s="4">
        <v>8</v>
      </c>
      <c r="L10" s="29">
        <v>8</v>
      </c>
      <c r="M10" s="29" t="s">
        <v>3</v>
      </c>
      <c r="N10" s="29">
        <v>8</v>
      </c>
      <c r="O10" s="29">
        <v>8</v>
      </c>
      <c r="P10" s="24"/>
      <c r="Q10" s="29">
        <v>8</v>
      </c>
      <c r="R10" s="29" t="s">
        <v>3</v>
      </c>
      <c r="S10" s="29">
        <f t="shared" si="1"/>
        <v>8</v>
      </c>
      <c r="T10" s="25"/>
      <c r="U10" s="25"/>
      <c r="V10" s="25"/>
      <c r="W10" s="24"/>
      <c r="X10" s="25"/>
      <c r="Y10" s="25"/>
      <c r="Z10" s="25"/>
      <c r="AA10" s="25"/>
      <c r="AB10" s="25"/>
      <c r="AC10" s="25"/>
      <c r="AD10" s="24"/>
      <c r="AE10" s="25"/>
      <c r="AF10" s="25"/>
      <c r="AG10" s="25"/>
      <c r="AH10" s="29"/>
      <c r="AI10" s="1">
        <f t="shared" si="2"/>
        <v>88</v>
      </c>
      <c r="AJ10" s="1">
        <f t="shared" si="0"/>
        <v>2</v>
      </c>
      <c r="AK10" s="46">
        <f t="shared" si="3"/>
        <v>11</v>
      </c>
      <c r="AM10" s="81">
        <v>2501956060</v>
      </c>
      <c r="AN10">
        <v>8</v>
      </c>
      <c r="AR10" s="17" t="s">
        <v>79</v>
      </c>
      <c r="AS10" s="17">
        <v>2626552117</v>
      </c>
      <c r="AT10" s="17" t="s">
        <v>40</v>
      </c>
    </row>
    <row r="11" spans="1:46" x14ac:dyDescent="0.3">
      <c r="A11" s="1">
        <v>8</v>
      </c>
      <c r="B11" s="26">
        <v>2501284539</v>
      </c>
      <c r="C11" s="94" t="s">
        <v>29</v>
      </c>
      <c r="D11" s="26" t="s">
        <v>48</v>
      </c>
      <c r="E11" s="4">
        <v>8</v>
      </c>
      <c r="F11" s="4">
        <v>8</v>
      </c>
      <c r="G11" s="4">
        <v>8</v>
      </c>
      <c r="H11" s="4">
        <v>8</v>
      </c>
      <c r="I11" s="23"/>
      <c r="J11" s="4">
        <v>8</v>
      </c>
      <c r="K11" s="4" t="s">
        <v>3</v>
      </c>
      <c r="L11" s="29" t="s">
        <v>3</v>
      </c>
      <c r="M11" s="29">
        <v>8</v>
      </c>
      <c r="N11" s="29">
        <v>8</v>
      </c>
      <c r="O11" s="29">
        <v>8</v>
      </c>
      <c r="P11" s="24"/>
      <c r="Q11" s="29">
        <v>8</v>
      </c>
      <c r="R11" s="29">
        <v>8</v>
      </c>
      <c r="S11" s="29">
        <f t="shared" si="1"/>
        <v>8</v>
      </c>
      <c r="T11" s="25"/>
      <c r="U11" s="25"/>
      <c r="V11" s="25"/>
      <c r="W11" s="24"/>
      <c r="X11" s="25"/>
      <c r="Y11" s="25"/>
      <c r="Z11" s="25"/>
      <c r="AA11" s="25"/>
      <c r="AB11" s="25"/>
      <c r="AC11" s="25"/>
      <c r="AD11" s="24"/>
      <c r="AE11" s="25"/>
      <c r="AF11" s="25"/>
      <c r="AG11" s="25"/>
      <c r="AH11" s="29"/>
      <c r="AI11" s="1">
        <f t="shared" si="2"/>
        <v>88</v>
      </c>
      <c r="AJ11" s="1">
        <f t="shared" si="0"/>
        <v>2</v>
      </c>
      <c r="AK11" s="46">
        <f t="shared" si="3"/>
        <v>11</v>
      </c>
      <c r="AM11" s="81">
        <v>2485985291</v>
      </c>
      <c r="AN11">
        <v>8</v>
      </c>
      <c r="AR11" s="17" t="s">
        <v>80</v>
      </c>
      <c r="AS11" s="17">
        <v>2541478596</v>
      </c>
      <c r="AT11" s="17" t="s">
        <v>40</v>
      </c>
    </row>
    <row r="12" spans="1:46" x14ac:dyDescent="0.3">
      <c r="A12" s="1">
        <v>9</v>
      </c>
      <c r="B12" s="26">
        <v>2196990226</v>
      </c>
      <c r="C12" s="94" t="s">
        <v>30</v>
      </c>
      <c r="D12" s="26" t="s">
        <v>48</v>
      </c>
      <c r="E12" s="4">
        <v>8</v>
      </c>
      <c r="F12" s="4">
        <v>8</v>
      </c>
      <c r="G12" s="4">
        <v>8</v>
      </c>
      <c r="H12" s="4" t="s">
        <v>3</v>
      </c>
      <c r="I12" s="23"/>
      <c r="J12" s="4" t="s">
        <v>3</v>
      </c>
      <c r="K12" s="4">
        <v>8</v>
      </c>
      <c r="L12" s="29">
        <v>8</v>
      </c>
      <c r="M12" s="29">
        <v>8</v>
      </c>
      <c r="N12" s="29">
        <v>8</v>
      </c>
      <c r="O12" s="29">
        <v>8</v>
      </c>
      <c r="P12" s="24"/>
      <c r="Q12" s="29">
        <v>8</v>
      </c>
      <c r="R12" s="29">
        <v>8</v>
      </c>
      <c r="S12" s="29">
        <f t="shared" si="1"/>
        <v>8</v>
      </c>
      <c r="T12" s="25"/>
      <c r="U12" s="25"/>
      <c r="V12" s="25"/>
      <c r="W12" s="24"/>
      <c r="X12" s="25"/>
      <c r="Y12" s="25"/>
      <c r="Z12" s="25"/>
      <c r="AA12" s="25"/>
      <c r="AB12" s="25"/>
      <c r="AC12" s="25"/>
      <c r="AD12" s="24"/>
      <c r="AE12" s="25"/>
      <c r="AF12" s="25"/>
      <c r="AG12" s="25"/>
      <c r="AH12" s="29"/>
      <c r="AI12" s="1">
        <f t="shared" si="2"/>
        <v>88</v>
      </c>
      <c r="AJ12" s="1">
        <f t="shared" si="0"/>
        <v>2</v>
      </c>
      <c r="AK12" s="46">
        <f t="shared" si="3"/>
        <v>11</v>
      </c>
      <c r="AM12" s="81">
        <v>2615598923</v>
      </c>
      <c r="AN12">
        <v>8</v>
      </c>
      <c r="AR12" s="17" t="s">
        <v>81</v>
      </c>
      <c r="AS12" s="17">
        <v>2514740519</v>
      </c>
      <c r="AT12" s="17" t="s">
        <v>40</v>
      </c>
    </row>
    <row r="13" spans="1:46" x14ac:dyDescent="0.3">
      <c r="A13" s="1">
        <v>10</v>
      </c>
      <c r="B13" s="27">
        <v>2512375201</v>
      </c>
      <c r="C13" s="95" t="s">
        <v>62</v>
      </c>
      <c r="D13" s="27" t="s">
        <v>48</v>
      </c>
      <c r="E13" s="54"/>
      <c r="F13" s="55"/>
      <c r="G13" s="55"/>
      <c r="H13" s="55"/>
      <c r="I13" s="55"/>
      <c r="J13" s="55"/>
      <c r="K13" s="55"/>
      <c r="L13" s="55"/>
      <c r="M13" s="56"/>
      <c r="N13" s="29">
        <v>8</v>
      </c>
      <c r="O13" s="29" t="s">
        <v>3</v>
      </c>
      <c r="P13" s="24"/>
      <c r="Q13" s="29" t="s">
        <v>3</v>
      </c>
      <c r="R13" s="29" t="s">
        <v>3</v>
      </c>
      <c r="S13" s="29" t="str">
        <f t="shared" si="1"/>
        <v>A</v>
      </c>
      <c r="T13" s="25"/>
      <c r="U13" s="25"/>
      <c r="V13" s="25"/>
      <c r="W13" s="24"/>
      <c r="X13" s="25"/>
      <c r="Y13" s="25"/>
      <c r="Z13" s="25"/>
      <c r="AA13" s="25"/>
      <c r="AB13" s="25"/>
      <c r="AC13" s="25"/>
      <c r="AD13" s="24"/>
      <c r="AE13" s="25"/>
      <c r="AF13" s="25"/>
      <c r="AG13" s="25"/>
      <c r="AH13" s="29"/>
      <c r="AI13" s="1">
        <f t="shared" si="2"/>
        <v>8</v>
      </c>
      <c r="AJ13" s="1">
        <f t="shared" si="0"/>
        <v>4</v>
      </c>
      <c r="AK13" s="46">
        <f t="shared" si="3"/>
        <v>1</v>
      </c>
      <c r="AM13" s="81">
        <v>2521159364</v>
      </c>
      <c r="AN13">
        <v>8</v>
      </c>
    </row>
    <row r="14" spans="1:46" x14ac:dyDescent="0.3">
      <c r="A14" s="1">
        <v>11</v>
      </c>
      <c r="B14" s="27">
        <v>2514320106</v>
      </c>
      <c r="C14" s="95" t="s">
        <v>61</v>
      </c>
      <c r="D14" s="27" t="s">
        <v>40</v>
      </c>
      <c r="E14" s="51"/>
      <c r="F14" s="52"/>
      <c r="G14" s="52"/>
      <c r="H14" s="52"/>
      <c r="I14" s="52"/>
      <c r="J14" s="52"/>
      <c r="K14" s="52"/>
      <c r="L14" s="52"/>
      <c r="M14" s="53"/>
      <c r="N14" s="29">
        <v>8</v>
      </c>
      <c r="O14" s="29">
        <v>8</v>
      </c>
      <c r="P14" s="24"/>
      <c r="Q14" s="29">
        <v>8</v>
      </c>
      <c r="R14" s="29">
        <v>8</v>
      </c>
      <c r="S14" s="29">
        <f t="shared" si="1"/>
        <v>8</v>
      </c>
      <c r="T14" s="25"/>
      <c r="U14" s="25"/>
      <c r="V14" s="25"/>
      <c r="W14" s="24"/>
      <c r="X14" s="25"/>
      <c r="Y14" s="25"/>
      <c r="Z14" s="25"/>
      <c r="AA14" s="25"/>
      <c r="AB14" s="25"/>
      <c r="AC14" s="25"/>
      <c r="AD14" s="24"/>
      <c r="AE14" s="25"/>
      <c r="AF14" s="25"/>
      <c r="AG14" s="25"/>
      <c r="AH14" s="29"/>
      <c r="AI14" s="1">
        <f t="shared" si="2"/>
        <v>40</v>
      </c>
      <c r="AJ14" s="1">
        <f t="shared" si="0"/>
        <v>0</v>
      </c>
      <c r="AK14" s="46">
        <f t="shared" si="3"/>
        <v>5</v>
      </c>
      <c r="AM14" s="81">
        <v>2510758804</v>
      </c>
      <c r="AN14">
        <v>8</v>
      </c>
    </row>
    <row r="15" spans="1:46" x14ac:dyDescent="0.3">
      <c r="A15" s="1">
        <v>12</v>
      </c>
      <c r="B15" s="96">
        <v>2633459578</v>
      </c>
      <c r="C15" s="95" t="s">
        <v>63</v>
      </c>
      <c r="D15" s="34" t="s">
        <v>40</v>
      </c>
      <c r="E15" s="57"/>
      <c r="F15" s="58"/>
      <c r="G15" s="58"/>
      <c r="H15" s="58"/>
      <c r="I15" s="58"/>
      <c r="J15" s="58"/>
      <c r="K15" s="58"/>
      <c r="L15" s="58"/>
      <c r="M15" s="58"/>
      <c r="N15" s="59"/>
      <c r="O15" s="45">
        <v>8</v>
      </c>
      <c r="P15" s="24"/>
      <c r="Q15" s="29" t="s">
        <v>3</v>
      </c>
      <c r="R15" s="29" t="s">
        <v>3</v>
      </c>
      <c r="S15" s="29" t="str">
        <f t="shared" si="1"/>
        <v>A</v>
      </c>
      <c r="T15" s="25"/>
      <c r="U15" s="25"/>
      <c r="V15" s="25"/>
      <c r="W15" s="24"/>
      <c r="X15" s="25"/>
      <c r="Y15" s="25"/>
      <c r="Z15" s="25"/>
      <c r="AA15" s="25"/>
      <c r="AB15" s="25"/>
      <c r="AC15" s="25"/>
      <c r="AD15" s="24"/>
      <c r="AE15" s="25"/>
      <c r="AF15" s="25"/>
      <c r="AG15" s="25"/>
      <c r="AH15" s="29"/>
      <c r="AI15" s="1">
        <f t="shared" si="2"/>
        <v>8</v>
      </c>
      <c r="AJ15" s="1">
        <f t="shared" si="0"/>
        <v>3</v>
      </c>
      <c r="AK15" s="46">
        <f t="shared" si="3"/>
        <v>1</v>
      </c>
      <c r="AM15" s="81">
        <v>2514320106</v>
      </c>
      <c r="AN15">
        <v>8</v>
      </c>
    </row>
    <row r="16" spans="1:46" x14ac:dyDescent="0.3">
      <c r="A16" s="1">
        <v>13</v>
      </c>
      <c r="B16" s="26">
        <v>2617117862</v>
      </c>
      <c r="C16" s="94" t="s">
        <v>32</v>
      </c>
      <c r="D16" s="26" t="s">
        <v>40</v>
      </c>
      <c r="E16" s="32" t="s">
        <v>3</v>
      </c>
      <c r="F16" s="32" t="s">
        <v>3</v>
      </c>
      <c r="G16" s="32" t="s">
        <v>3</v>
      </c>
      <c r="H16" s="32" t="s">
        <v>3</v>
      </c>
      <c r="I16" s="38"/>
      <c r="J16" s="32" t="s">
        <v>3</v>
      </c>
      <c r="K16" s="32" t="s">
        <v>3</v>
      </c>
      <c r="L16" s="39" t="s">
        <v>3</v>
      </c>
      <c r="M16" s="39" t="s">
        <v>3</v>
      </c>
      <c r="N16" s="39" t="s">
        <v>3</v>
      </c>
      <c r="O16" s="29" t="s">
        <v>3</v>
      </c>
      <c r="P16" s="24"/>
      <c r="Q16" s="29" t="s">
        <v>3</v>
      </c>
      <c r="R16" s="29" t="s">
        <v>3</v>
      </c>
      <c r="S16" s="29" t="str">
        <f t="shared" si="1"/>
        <v>A</v>
      </c>
      <c r="T16" s="25"/>
      <c r="U16" s="25"/>
      <c r="V16" s="25"/>
      <c r="W16" s="24"/>
      <c r="X16" s="25"/>
      <c r="Y16" s="25"/>
      <c r="Z16" s="25"/>
      <c r="AA16" s="25"/>
      <c r="AB16" s="25"/>
      <c r="AC16" s="25"/>
      <c r="AD16" s="24"/>
      <c r="AE16" s="25"/>
      <c r="AF16" s="25"/>
      <c r="AG16" s="25"/>
      <c r="AH16" s="29"/>
      <c r="AI16" s="1">
        <f t="shared" si="2"/>
        <v>0</v>
      </c>
      <c r="AJ16" s="1">
        <f t="shared" si="0"/>
        <v>13</v>
      </c>
      <c r="AK16" s="46">
        <f t="shared" si="3"/>
        <v>0</v>
      </c>
      <c r="AM16" s="81">
        <v>2230258051</v>
      </c>
      <c r="AN16">
        <v>8</v>
      </c>
    </row>
    <row r="17" spans="1:40" x14ac:dyDescent="0.3">
      <c r="A17" s="1">
        <v>14</v>
      </c>
      <c r="B17" s="26">
        <v>2621180641</v>
      </c>
      <c r="C17" s="94" t="s">
        <v>33</v>
      </c>
      <c r="D17" s="26" t="s">
        <v>40</v>
      </c>
      <c r="E17" s="4" t="s">
        <v>3</v>
      </c>
      <c r="F17" s="4" t="s">
        <v>3</v>
      </c>
      <c r="G17" s="4" t="s">
        <v>3</v>
      </c>
      <c r="H17" s="4" t="s">
        <v>3</v>
      </c>
      <c r="I17" s="23"/>
      <c r="J17" s="4" t="s">
        <v>3</v>
      </c>
      <c r="K17" s="4" t="s">
        <v>3</v>
      </c>
      <c r="L17" s="29" t="s">
        <v>3</v>
      </c>
      <c r="M17" s="29" t="s">
        <v>3</v>
      </c>
      <c r="N17" s="29" t="s">
        <v>3</v>
      </c>
      <c r="O17" s="29" t="s">
        <v>3</v>
      </c>
      <c r="P17" s="24"/>
      <c r="Q17" s="29" t="s">
        <v>3</v>
      </c>
      <c r="R17" s="29" t="s">
        <v>3</v>
      </c>
      <c r="S17" s="29" t="str">
        <f t="shared" si="1"/>
        <v>A</v>
      </c>
      <c r="T17" s="25"/>
      <c r="U17" s="25"/>
      <c r="V17" s="25"/>
      <c r="W17" s="24"/>
      <c r="X17" s="25"/>
      <c r="Y17" s="25"/>
      <c r="Z17" s="25"/>
      <c r="AA17" s="25"/>
      <c r="AB17" s="25"/>
      <c r="AC17" s="25"/>
      <c r="AD17" s="24"/>
      <c r="AE17" s="25"/>
      <c r="AF17" s="25"/>
      <c r="AG17" s="25"/>
      <c r="AH17" s="29"/>
      <c r="AI17" s="1">
        <f t="shared" si="2"/>
        <v>0</v>
      </c>
      <c r="AJ17" s="1">
        <f t="shared" si="0"/>
        <v>13</v>
      </c>
      <c r="AK17" s="46">
        <f t="shared" si="3"/>
        <v>0</v>
      </c>
      <c r="AM17" s="81">
        <v>2507516116</v>
      </c>
      <c r="AN17">
        <v>8</v>
      </c>
    </row>
    <row r="18" spans="1:40" x14ac:dyDescent="0.3">
      <c r="A18" s="1">
        <v>15</v>
      </c>
      <c r="B18" s="26">
        <v>2622037592</v>
      </c>
      <c r="C18" s="94" t="s">
        <v>34</v>
      </c>
      <c r="D18" s="26" t="s">
        <v>40</v>
      </c>
      <c r="E18" s="4" t="s">
        <v>3</v>
      </c>
      <c r="F18" s="4" t="s">
        <v>3</v>
      </c>
      <c r="G18" s="4" t="s">
        <v>3</v>
      </c>
      <c r="H18" s="4" t="s">
        <v>3</v>
      </c>
      <c r="I18" s="23"/>
      <c r="J18" s="4" t="s">
        <v>3</v>
      </c>
      <c r="K18" s="4" t="s">
        <v>3</v>
      </c>
      <c r="L18" s="29" t="s">
        <v>3</v>
      </c>
      <c r="M18" s="29" t="s">
        <v>3</v>
      </c>
      <c r="N18" s="29" t="s">
        <v>3</v>
      </c>
      <c r="O18" s="29" t="s">
        <v>3</v>
      </c>
      <c r="P18" s="24"/>
      <c r="Q18" s="29" t="s">
        <v>3</v>
      </c>
      <c r="R18" s="29" t="s">
        <v>3</v>
      </c>
      <c r="S18" s="29" t="str">
        <f t="shared" si="1"/>
        <v>A</v>
      </c>
      <c r="T18" s="25"/>
      <c r="U18" s="25"/>
      <c r="V18" s="25"/>
      <c r="W18" s="24"/>
      <c r="X18" s="25"/>
      <c r="Y18" s="25"/>
      <c r="Z18" s="25"/>
      <c r="AA18" s="25"/>
      <c r="AB18" s="25"/>
      <c r="AC18" s="25"/>
      <c r="AD18" s="24"/>
      <c r="AE18" s="25"/>
      <c r="AF18" s="25"/>
      <c r="AG18" s="25"/>
      <c r="AH18" s="29"/>
      <c r="AI18" s="1">
        <f t="shared" si="2"/>
        <v>0</v>
      </c>
      <c r="AJ18" s="1">
        <f t="shared" si="0"/>
        <v>13</v>
      </c>
      <c r="AK18" s="46">
        <f t="shared" si="3"/>
        <v>0</v>
      </c>
      <c r="AM18" s="81">
        <v>2633459587</v>
      </c>
      <c r="AN18">
        <v>8</v>
      </c>
    </row>
    <row r="19" spans="1:40" x14ac:dyDescent="0.3">
      <c r="A19" s="1">
        <v>16</v>
      </c>
      <c r="B19" s="26">
        <v>2566448730</v>
      </c>
      <c r="C19" s="94" t="s">
        <v>35</v>
      </c>
      <c r="D19" s="26" t="s">
        <v>40</v>
      </c>
      <c r="E19" s="4">
        <v>8</v>
      </c>
      <c r="F19" s="4">
        <v>8</v>
      </c>
      <c r="G19" s="4">
        <v>8</v>
      </c>
      <c r="H19" s="4">
        <v>8</v>
      </c>
      <c r="I19" s="23"/>
      <c r="J19" s="4">
        <v>8</v>
      </c>
      <c r="K19" s="4">
        <v>8</v>
      </c>
      <c r="L19" s="29">
        <v>8</v>
      </c>
      <c r="M19" s="29">
        <v>8</v>
      </c>
      <c r="N19" s="29">
        <v>8</v>
      </c>
      <c r="O19" s="29">
        <v>8</v>
      </c>
      <c r="P19" s="24"/>
      <c r="Q19" s="29">
        <v>8</v>
      </c>
      <c r="R19" s="29">
        <v>8</v>
      </c>
      <c r="S19" s="29">
        <f t="shared" si="1"/>
        <v>8</v>
      </c>
      <c r="T19" s="25"/>
      <c r="U19" s="25"/>
      <c r="V19" s="25"/>
      <c r="W19" s="24"/>
      <c r="X19" s="25"/>
      <c r="Y19" s="25"/>
      <c r="Z19" s="25"/>
      <c r="AA19" s="25"/>
      <c r="AB19" s="25"/>
      <c r="AC19" s="25"/>
      <c r="AD19" s="24"/>
      <c r="AE19" s="25"/>
      <c r="AF19" s="25"/>
      <c r="AG19" s="25"/>
      <c r="AH19" s="29"/>
      <c r="AI19" s="1">
        <f t="shared" si="2"/>
        <v>104</v>
      </c>
      <c r="AJ19" s="1">
        <f t="shared" si="0"/>
        <v>0</v>
      </c>
      <c r="AK19" s="46">
        <f t="shared" si="3"/>
        <v>13</v>
      </c>
      <c r="AM19" s="81">
        <v>2608377764</v>
      </c>
      <c r="AN19">
        <v>8</v>
      </c>
    </row>
    <row r="20" spans="1:40" x14ac:dyDescent="0.3">
      <c r="A20" s="1">
        <v>17</v>
      </c>
      <c r="B20" s="26">
        <v>2510758804</v>
      </c>
      <c r="C20" s="94" t="s">
        <v>15</v>
      </c>
      <c r="D20" s="26" t="s">
        <v>40</v>
      </c>
      <c r="E20" s="4" t="s">
        <v>3</v>
      </c>
      <c r="F20" s="4">
        <v>8</v>
      </c>
      <c r="G20" s="4" t="s">
        <v>3</v>
      </c>
      <c r="H20" s="4">
        <v>8</v>
      </c>
      <c r="I20" s="23"/>
      <c r="J20" s="4">
        <v>8</v>
      </c>
      <c r="K20" s="4">
        <v>8</v>
      </c>
      <c r="L20" s="29">
        <v>8</v>
      </c>
      <c r="M20" s="29" t="s">
        <v>3</v>
      </c>
      <c r="N20" s="29" t="s">
        <v>3</v>
      </c>
      <c r="O20" s="29">
        <v>8</v>
      </c>
      <c r="P20" s="24"/>
      <c r="Q20" s="29">
        <v>8</v>
      </c>
      <c r="R20" s="29">
        <v>8</v>
      </c>
      <c r="S20" s="29">
        <f t="shared" si="1"/>
        <v>8</v>
      </c>
      <c r="T20" s="25"/>
      <c r="U20" s="25"/>
      <c r="V20" s="25"/>
      <c r="W20" s="24"/>
      <c r="X20" s="25"/>
      <c r="Y20" s="25"/>
      <c r="Z20" s="25"/>
      <c r="AA20" s="25"/>
      <c r="AB20" s="25"/>
      <c r="AC20" s="25"/>
      <c r="AD20" s="24"/>
      <c r="AE20" s="25"/>
      <c r="AF20" s="25"/>
      <c r="AG20" s="25"/>
      <c r="AH20" s="29"/>
      <c r="AI20" s="1">
        <f t="shared" si="2"/>
        <v>72</v>
      </c>
      <c r="AJ20" s="1">
        <f t="shared" si="0"/>
        <v>4</v>
      </c>
      <c r="AK20" s="46">
        <f t="shared" si="3"/>
        <v>9</v>
      </c>
      <c r="AM20" s="81">
        <v>2632621773</v>
      </c>
      <c r="AN20">
        <v>8</v>
      </c>
    </row>
    <row r="21" spans="1:40" x14ac:dyDescent="0.3">
      <c r="A21" s="1">
        <v>18</v>
      </c>
      <c r="B21" s="26">
        <v>2521159364</v>
      </c>
      <c r="C21" s="94" t="s">
        <v>31</v>
      </c>
      <c r="D21" s="26" t="s">
        <v>40</v>
      </c>
      <c r="E21" s="4">
        <v>8</v>
      </c>
      <c r="F21" s="4">
        <v>8</v>
      </c>
      <c r="G21" s="4">
        <v>8</v>
      </c>
      <c r="H21" s="4">
        <v>8</v>
      </c>
      <c r="I21" s="23"/>
      <c r="J21" s="4">
        <v>8</v>
      </c>
      <c r="K21" s="4">
        <v>8</v>
      </c>
      <c r="L21" s="29">
        <v>8</v>
      </c>
      <c r="M21" s="29" t="s">
        <v>3</v>
      </c>
      <c r="N21" s="29" t="s">
        <v>3</v>
      </c>
      <c r="O21" s="29">
        <v>8</v>
      </c>
      <c r="P21" s="24"/>
      <c r="Q21" s="29">
        <v>8</v>
      </c>
      <c r="R21" s="29" t="s">
        <v>3</v>
      </c>
      <c r="S21" s="29">
        <f t="shared" si="1"/>
        <v>8</v>
      </c>
      <c r="T21" s="25"/>
      <c r="U21" s="25"/>
      <c r="V21" s="25"/>
      <c r="W21" s="24"/>
      <c r="X21" s="25"/>
      <c r="Y21" s="25"/>
      <c r="Z21" s="25"/>
      <c r="AA21" s="25"/>
      <c r="AB21" s="25"/>
      <c r="AC21" s="25"/>
      <c r="AD21" s="24"/>
      <c r="AE21" s="25"/>
      <c r="AF21" s="25"/>
      <c r="AG21" s="25"/>
      <c r="AH21" s="29"/>
      <c r="AI21" s="1">
        <f t="shared" si="2"/>
        <v>80</v>
      </c>
      <c r="AJ21" s="1">
        <f t="shared" si="0"/>
        <v>3</v>
      </c>
      <c r="AK21" s="46">
        <f t="shared" si="3"/>
        <v>10</v>
      </c>
      <c r="AM21" s="81">
        <v>2592247361</v>
      </c>
      <c r="AN21">
        <v>8</v>
      </c>
    </row>
    <row r="22" spans="1:40" x14ac:dyDescent="0.3">
      <c r="A22" s="1">
        <v>19</v>
      </c>
      <c r="B22" s="26">
        <v>2631068984</v>
      </c>
      <c r="C22" s="94" t="s">
        <v>36</v>
      </c>
      <c r="D22" s="26" t="s">
        <v>40</v>
      </c>
      <c r="E22" s="4" t="s">
        <v>3</v>
      </c>
      <c r="F22" s="4" t="s">
        <v>3</v>
      </c>
      <c r="G22" s="4" t="s">
        <v>3</v>
      </c>
      <c r="H22" s="4" t="s">
        <v>3</v>
      </c>
      <c r="I22" s="23"/>
      <c r="J22" s="4" t="s">
        <v>3</v>
      </c>
      <c r="K22" s="4" t="s">
        <v>3</v>
      </c>
      <c r="L22" s="29" t="s">
        <v>3</v>
      </c>
      <c r="M22" s="29" t="s">
        <v>3</v>
      </c>
      <c r="N22" s="29" t="s">
        <v>3</v>
      </c>
      <c r="O22" s="29" t="s">
        <v>3</v>
      </c>
      <c r="P22" s="24"/>
      <c r="Q22" s="29" t="s">
        <v>3</v>
      </c>
      <c r="R22" s="29" t="s">
        <v>3</v>
      </c>
      <c r="S22" s="29" t="str">
        <f t="shared" si="1"/>
        <v>A</v>
      </c>
      <c r="T22" s="25"/>
      <c r="U22" s="25"/>
      <c r="V22" s="25"/>
      <c r="W22" s="24"/>
      <c r="X22" s="25"/>
      <c r="Y22" s="25"/>
      <c r="Z22" s="25"/>
      <c r="AA22" s="25"/>
      <c r="AB22" s="25"/>
      <c r="AC22" s="25"/>
      <c r="AD22" s="24"/>
      <c r="AE22" s="25"/>
      <c r="AF22" s="25"/>
      <c r="AG22" s="25"/>
      <c r="AH22" s="29"/>
      <c r="AI22" s="1">
        <f t="shared" si="2"/>
        <v>0</v>
      </c>
      <c r="AJ22" s="1">
        <f t="shared" si="0"/>
        <v>13</v>
      </c>
      <c r="AK22" s="46">
        <f t="shared" si="3"/>
        <v>0</v>
      </c>
      <c r="AM22" s="81">
        <v>2626552117</v>
      </c>
      <c r="AN22">
        <v>8</v>
      </c>
    </row>
    <row r="23" spans="1:40" x14ac:dyDescent="0.3">
      <c r="A23" s="1">
        <v>20</v>
      </c>
      <c r="B23" s="97">
        <v>2600263261</v>
      </c>
      <c r="C23" s="98" t="s">
        <v>37</v>
      </c>
      <c r="D23" s="26" t="s">
        <v>40</v>
      </c>
      <c r="E23" s="4" t="s">
        <v>3</v>
      </c>
      <c r="F23" s="4" t="s">
        <v>3</v>
      </c>
      <c r="G23" s="4" t="s">
        <v>3</v>
      </c>
      <c r="H23" s="4" t="s">
        <v>3</v>
      </c>
      <c r="I23" s="23"/>
      <c r="J23" s="4" t="s">
        <v>3</v>
      </c>
      <c r="K23" s="4" t="s">
        <v>3</v>
      </c>
      <c r="L23" s="29" t="s">
        <v>3</v>
      </c>
      <c r="M23" s="29" t="s">
        <v>3</v>
      </c>
      <c r="N23" s="29" t="s">
        <v>3</v>
      </c>
      <c r="O23" s="29" t="s">
        <v>3</v>
      </c>
      <c r="P23" s="24"/>
      <c r="Q23" s="29" t="s">
        <v>3</v>
      </c>
      <c r="R23" s="29" t="s">
        <v>3</v>
      </c>
      <c r="S23" s="29" t="str">
        <f t="shared" si="1"/>
        <v>A</v>
      </c>
      <c r="T23" s="25"/>
      <c r="U23" s="25"/>
      <c r="V23" s="25"/>
      <c r="W23" s="24"/>
      <c r="X23" s="25"/>
      <c r="Y23" s="25"/>
      <c r="Z23" s="25"/>
      <c r="AA23" s="25"/>
      <c r="AB23" s="25"/>
      <c r="AC23" s="25"/>
      <c r="AD23" s="24"/>
      <c r="AE23" s="25"/>
      <c r="AF23" s="25"/>
      <c r="AG23" s="25"/>
      <c r="AH23" s="29"/>
      <c r="AI23" s="1">
        <f t="shared" si="2"/>
        <v>0</v>
      </c>
      <c r="AJ23" s="1">
        <f t="shared" si="0"/>
        <v>13</v>
      </c>
      <c r="AK23" s="46">
        <f t="shared" si="3"/>
        <v>0</v>
      </c>
      <c r="AM23" s="81">
        <v>2541478596</v>
      </c>
      <c r="AN23">
        <v>8</v>
      </c>
    </row>
    <row r="24" spans="1:40" x14ac:dyDescent="0.3">
      <c r="A24" s="1">
        <v>21</v>
      </c>
      <c r="B24" s="27">
        <v>2633459587</v>
      </c>
      <c r="C24" s="99" t="s">
        <v>38</v>
      </c>
      <c r="D24" s="26" t="s">
        <v>40</v>
      </c>
      <c r="E24" s="4">
        <v>8</v>
      </c>
      <c r="F24" s="4">
        <v>8</v>
      </c>
      <c r="G24" s="4" t="s">
        <v>3</v>
      </c>
      <c r="H24" s="4" t="s">
        <v>3</v>
      </c>
      <c r="I24" s="23"/>
      <c r="J24" s="4" t="s">
        <v>3</v>
      </c>
      <c r="K24" s="4">
        <v>8</v>
      </c>
      <c r="L24" s="29">
        <v>8</v>
      </c>
      <c r="M24" s="29">
        <v>8</v>
      </c>
      <c r="N24" s="29" t="s">
        <v>3</v>
      </c>
      <c r="O24" s="29" t="s">
        <v>3</v>
      </c>
      <c r="P24" s="24"/>
      <c r="Q24" s="29" t="s">
        <v>3</v>
      </c>
      <c r="R24" s="29">
        <v>8</v>
      </c>
      <c r="S24" s="29">
        <f t="shared" si="1"/>
        <v>8</v>
      </c>
      <c r="T24" s="25"/>
      <c r="U24" s="25"/>
      <c r="V24" s="25"/>
      <c r="W24" s="24"/>
      <c r="X24" s="25"/>
      <c r="Y24" s="25"/>
      <c r="Z24" s="25"/>
      <c r="AA24" s="25"/>
      <c r="AB24" s="25"/>
      <c r="AC24" s="25"/>
      <c r="AD24" s="24"/>
      <c r="AE24" s="25"/>
      <c r="AF24" s="25"/>
      <c r="AG24" s="25"/>
      <c r="AH24" s="29"/>
      <c r="AI24" s="1">
        <f t="shared" si="2"/>
        <v>56</v>
      </c>
      <c r="AJ24" s="1">
        <f t="shared" si="0"/>
        <v>6</v>
      </c>
      <c r="AK24" s="46">
        <f t="shared" si="3"/>
        <v>7</v>
      </c>
      <c r="AM24" s="81">
        <v>2625990508</v>
      </c>
      <c r="AN24">
        <v>8</v>
      </c>
    </row>
    <row r="25" spans="1:40" x14ac:dyDescent="0.3">
      <c r="A25" s="1">
        <v>22</v>
      </c>
      <c r="B25" s="26">
        <v>2230258051</v>
      </c>
      <c r="C25" s="94" t="s">
        <v>22</v>
      </c>
      <c r="D25" s="26" t="s">
        <v>40</v>
      </c>
      <c r="E25" s="4">
        <v>8</v>
      </c>
      <c r="F25" s="4">
        <v>8</v>
      </c>
      <c r="G25" s="4">
        <v>8</v>
      </c>
      <c r="H25" s="4">
        <v>8</v>
      </c>
      <c r="I25" s="23"/>
      <c r="J25" s="4">
        <v>8</v>
      </c>
      <c r="K25" s="4">
        <v>8</v>
      </c>
      <c r="L25" s="29">
        <v>8</v>
      </c>
      <c r="M25" s="29">
        <v>8</v>
      </c>
      <c r="N25" s="29">
        <v>8</v>
      </c>
      <c r="O25" s="29">
        <v>8</v>
      </c>
      <c r="P25" s="24"/>
      <c r="Q25" s="29">
        <v>8</v>
      </c>
      <c r="R25" s="29">
        <v>8</v>
      </c>
      <c r="S25" s="29">
        <f t="shared" si="1"/>
        <v>8</v>
      </c>
      <c r="T25" s="25"/>
      <c r="U25" s="25"/>
      <c r="V25" s="25"/>
      <c r="W25" s="24"/>
      <c r="X25" s="25"/>
      <c r="Y25" s="25"/>
      <c r="Z25" s="25"/>
      <c r="AA25" s="25"/>
      <c r="AB25" s="25"/>
      <c r="AC25" s="25"/>
      <c r="AD25" s="24"/>
      <c r="AE25" s="25"/>
      <c r="AF25" s="25"/>
      <c r="AG25" s="25"/>
      <c r="AH25" s="29"/>
      <c r="AI25" s="1">
        <f t="shared" si="2"/>
        <v>104</v>
      </c>
      <c r="AJ25" s="1">
        <f t="shared" si="0"/>
        <v>0</v>
      </c>
      <c r="AK25" s="46">
        <f t="shared" si="3"/>
        <v>13</v>
      </c>
      <c r="AM25" s="81">
        <v>2514740519</v>
      </c>
      <c r="AN25">
        <v>8</v>
      </c>
    </row>
    <row r="26" spans="1:40" ht="12.6" customHeight="1" x14ac:dyDescent="0.3">
      <c r="A26" s="1">
        <v>23</v>
      </c>
      <c r="B26" s="26">
        <v>2606452767</v>
      </c>
      <c r="C26" s="94" t="s">
        <v>23</v>
      </c>
      <c r="D26" s="26" t="s">
        <v>40</v>
      </c>
      <c r="E26" s="4">
        <v>8</v>
      </c>
      <c r="F26" s="4">
        <v>8</v>
      </c>
      <c r="G26" s="4">
        <v>8</v>
      </c>
      <c r="H26" s="4">
        <v>8</v>
      </c>
      <c r="I26" s="23"/>
      <c r="J26" s="4">
        <v>8</v>
      </c>
      <c r="K26" s="4" t="s">
        <v>3</v>
      </c>
      <c r="L26" s="29">
        <v>8</v>
      </c>
      <c r="M26" s="29">
        <v>8</v>
      </c>
      <c r="N26" s="29">
        <v>8</v>
      </c>
      <c r="O26" s="29">
        <v>8</v>
      </c>
      <c r="P26" s="24"/>
      <c r="Q26" s="29">
        <v>8</v>
      </c>
      <c r="R26" s="29">
        <v>8</v>
      </c>
      <c r="S26" s="29" t="str">
        <f t="shared" si="1"/>
        <v>A</v>
      </c>
      <c r="T26" s="25"/>
      <c r="U26" s="25"/>
      <c r="V26" s="25"/>
      <c r="W26" s="24"/>
      <c r="X26" s="25"/>
      <c r="Y26" s="25"/>
      <c r="Z26" s="25"/>
      <c r="AA26" s="25"/>
      <c r="AB26" s="25"/>
      <c r="AC26" s="25"/>
      <c r="AD26" s="24"/>
      <c r="AE26" s="25"/>
      <c r="AF26" s="25"/>
      <c r="AG26" s="25"/>
      <c r="AH26" s="29"/>
      <c r="AI26" s="1">
        <f t="shared" si="2"/>
        <v>88</v>
      </c>
      <c r="AJ26" s="1">
        <f t="shared" si="0"/>
        <v>2</v>
      </c>
      <c r="AK26" s="46">
        <f t="shared" si="3"/>
        <v>11</v>
      </c>
      <c r="AM26" s="81">
        <v>2566448730</v>
      </c>
      <c r="AN26">
        <v>8</v>
      </c>
    </row>
    <row r="27" spans="1:40" x14ac:dyDescent="0.3">
      <c r="A27" s="1">
        <v>24</v>
      </c>
      <c r="B27" s="26">
        <v>2625990508</v>
      </c>
      <c r="C27" s="94" t="s">
        <v>24</v>
      </c>
      <c r="D27" s="26" t="s">
        <v>40</v>
      </c>
      <c r="E27" s="4">
        <v>8</v>
      </c>
      <c r="F27" s="4" t="s">
        <v>3</v>
      </c>
      <c r="G27" s="4">
        <v>8</v>
      </c>
      <c r="H27" s="4">
        <v>8</v>
      </c>
      <c r="I27" s="23"/>
      <c r="J27" s="4">
        <v>8</v>
      </c>
      <c r="K27" s="4" t="s">
        <v>3</v>
      </c>
      <c r="L27" s="29">
        <v>8</v>
      </c>
      <c r="M27" s="29">
        <v>8</v>
      </c>
      <c r="N27" s="29">
        <v>8</v>
      </c>
      <c r="O27" s="29">
        <v>8</v>
      </c>
      <c r="P27" s="24"/>
      <c r="Q27" s="29">
        <v>8</v>
      </c>
      <c r="R27" s="29" t="s">
        <v>3</v>
      </c>
      <c r="S27" s="29">
        <f t="shared" si="1"/>
        <v>8</v>
      </c>
      <c r="T27" s="25"/>
      <c r="U27" s="25"/>
      <c r="V27" s="25"/>
      <c r="W27" s="24"/>
      <c r="X27" s="25"/>
      <c r="Y27" s="25"/>
      <c r="Z27" s="25"/>
      <c r="AA27" s="25"/>
      <c r="AB27" s="25"/>
      <c r="AC27" s="25"/>
      <c r="AD27" s="24"/>
      <c r="AE27" s="25"/>
      <c r="AF27" s="25"/>
      <c r="AG27" s="25"/>
      <c r="AH27" s="29"/>
      <c r="AI27" s="1">
        <f t="shared" si="2"/>
        <v>80</v>
      </c>
      <c r="AJ27" s="1">
        <f t="shared" si="0"/>
        <v>3</v>
      </c>
      <c r="AK27" s="46">
        <f t="shared" si="3"/>
        <v>10</v>
      </c>
      <c r="AM27" s="81">
        <v>2600773895</v>
      </c>
      <c r="AN27">
        <v>8</v>
      </c>
    </row>
    <row r="28" spans="1:40" x14ac:dyDescent="0.3">
      <c r="A28" s="1">
        <v>25</v>
      </c>
      <c r="B28" s="26">
        <v>2434461113</v>
      </c>
      <c r="C28" s="94" t="s">
        <v>25</v>
      </c>
      <c r="D28" s="26" t="s">
        <v>40</v>
      </c>
      <c r="E28" s="4" t="s">
        <v>3</v>
      </c>
      <c r="F28" s="4" t="s">
        <v>3</v>
      </c>
      <c r="G28" s="4" t="s">
        <v>3</v>
      </c>
      <c r="H28" s="4" t="s">
        <v>3</v>
      </c>
      <c r="I28" s="23"/>
      <c r="J28" s="4" t="s">
        <v>3</v>
      </c>
      <c r="K28" s="4" t="s">
        <v>3</v>
      </c>
      <c r="L28" s="29" t="s">
        <v>3</v>
      </c>
      <c r="M28" s="29" t="s">
        <v>3</v>
      </c>
      <c r="N28" s="29" t="s">
        <v>3</v>
      </c>
      <c r="O28" s="29" t="s">
        <v>3</v>
      </c>
      <c r="P28" s="24"/>
      <c r="Q28" s="29" t="s">
        <v>3</v>
      </c>
      <c r="R28" s="29" t="s">
        <v>3</v>
      </c>
      <c r="S28" s="29" t="str">
        <f t="shared" si="1"/>
        <v>A</v>
      </c>
      <c r="T28" s="25"/>
      <c r="U28" s="25"/>
      <c r="V28" s="25"/>
      <c r="W28" s="24"/>
      <c r="X28" s="25"/>
      <c r="Y28" s="25"/>
      <c r="Z28" s="25"/>
      <c r="AA28" s="25"/>
      <c r="AB28" s="25"/>
      <c r="AC28" s="25"/>
      <c r="AD28" s="24"/>
      <c r="AE28" s="25"/>
      <c r="AF28" s="25"/>
      <c r="AG28" s="25"/>
      <c r="AH28" s="29"/>
      <c r="AI28" s="1">
        <f t="shared" si="2"/>
        <v>0</v>
      </c>
      <c r="AJ28" s="1">
        <f t="shared" si="0"/>
        <v>13</v>
      </c>
      <c r="AK28" s="46">
        <f t="shared" si="3"/>
        <v>0</v>
      </c>
      <c r="AM28" s="81">
        <v>2619221266</v>
      </c>
      <c r="AN28">
        <v>8</v>
      </c>
    </row>
    <row r="29" spans="1:40" x14ac:dyDescent="0.3">
      <c r="A29" s="1">
        <v>26</v>
      </c>
      <c r="B29" s="26">
        <v>2507516116</v>
      </c>
      <c r="C29" s="94" t="s">
        <v>26</v>
      </c>
      <c r="D29" s="26" t="s">
        <v>40</v>
      </c>
      <c r="E29" s="4">
        <v>8</v>
      </c>
      <c r="F29" s="4">
        <v>8</v>
      </c>
      <c r="G29" s="4">
        <v>8</v>
      </c>
      <c r="H29" s="4">
        <v>8</v>
      </c>
      <c r="I29" s="23"/>
      <c r="J29" s="4">
        <v>8</v>
      </c>
      <c r="K29" s="4">
        <v>8</v>
      </c>
      <c r="L29" s="29">
        <v>8</v>
      </c>
      <c r="M29" s="29">
        <v>8</v>
      </c>
      <c r="N29" s="29">
        <v>8</v>
      </c>
      <c r="O29" s="29">
        <v>8</v>
      </c>
      <c r="P29" s="24"/>
      <c r="Q29" s="29">
        <v>8</v>
      </c>
      <c r="R29" s="29">
        <v>8</v>
      </c>
      <c r="S29" s="29">
        <f t="shared" si="1"/>
        <v>8</v>
      </c>
      <c r="T29" s="25"/>
      <c r="U29" s="25"/>
      <c r="V29" s="25"/>
      <c r="W29" s="24"/>
      <c r="X29" s="25"/>
      <c r="Y29" s="25"/>
      <c r="Z29" s="25"/>
      <c r="AA29" s="25"/>
      <c r="AB29" s="25"/>
      <c r="AC29" s="25"/>
      <c r="AD29" s="24"/>
      <c r="AE29" s="25"/>
      <c r="AF29" s="25"/>
      <c r="AG29" s="25"/>
      <c r="AH29" s="29"/>
      <c r="AI29" s="1">
        <f t="shared" si="2"/>
        <v>104</v>
      </c>
      <c r="AJ29" s="1">
        <f t="shared" si="0"/>
        <v>0</v>
      </c>
      <c r="AK29" s="46">
        <f t="shared" si="3"/>
        <v>13</v>
      </c>
      <c r="AM29" s="81">
        <v>2632469744</v>
      </c>
      <c r="AN29">
        <v>8</v>
      </c>
    </row>
    <row r="30" spans="1:40" x14ac:dyDescent="0.3">
      <c r="A30" s="1">
        <v>27</v>
      </c>
      <c r="B30" s="26">
        <v>2522119383</v>
      </c>
      <c r="C30" s="94" t="s">
        <v>27</v>
      </c>
      <c r="D30" s="26" t="s">
        <v>40</v>
      </c>
      <c r="E30" s="4">
        <v>8</v>
      </c>
      <c r="F30" s="4">
        <v>8</v>
      </c>
      <c r="G30" s="4">
        <v>8</v>
      </c>
      <c r="H30" s="4">
        <v>8</v>
      </c>
      <c r="I30" s="23"/>
      <c r="J30" s="4">
        <v>8</v>
      </c>
      <c r="K30" s="4" t="s">
        <v>3</v>
      </c>
      <c r="L30" s="29">
        <v>8</v>
      </c>
      <c r="M30" s="29">
        <v>8</v>
      </c>
      <c r="N30" s="29">
        <v>8</v>
      </c>
      <c r="O30" s="29">
        <v>8</v>
      </c>
      <c r="P30" s="24"/>
      <c r="Q30" s="29">
        <v>8</v>
      </c>
      <c r="R30" s="29">
        <v>8</v>
      </c>
      <c r="S30" s="29" t="str">
        <f t="shared" si="1"/>
        <v>A</v>
      </c>
      <c r="T30" s="25"/>
      <c r="U30" s="25"/>
      <c r="V30" s="25"/>
      <c r="W30" s="24"/>
      <c r="X30" s="25"/>
      <c r="Y30" s="25"/>
      <c r="Z30" s="25"/>
      <c r="AA30" s="25"/>
      <c r="AB30" s="25"/>
      <c r="AC30" s="25"/>
      <c r="AD30" s="24"/>
      <c r="AE30" s="25"/>
      <c r="AF30" s="25"/>
      <c r="AG30" s="25"/>
      <c r="AH30" s="29"/>
      <c r="AI30" s="1">
        <f t="shared" si="2"/>
        <v>88</v>
      </c>
      <c r="AJ30" s="1">
        <f t="shared" si="0"/>
        <v>2</v>
      </c>
      <c r="AK30" s="46">
        <f t="shared" si="3"/>
        <v>11</v>
      </c>
      <c r="AM30" s="81">
        <v>2627619485</v>
      </c>
      <c r="AN30">
        <v>8</v>
      </c>
    </row>
    <row r="31" spans="1:40" x14ac:dyDescent="0.3">
      <c r="A31" s="1">
        <v>28</v>
      </c>
      <c r="B31" s="26">
        <v>2577582303</v>
      </c>
      <c r="C31" s="94" t="s">
        <v>28</v>
      </c>
      <c r="D31" s="26" t="s">
        <v>40</v>
      </c>
      <c r="E31" s="36" t="s">
        <v>3</v>
      </c>
      <c r="F31" s="36" t="s">
        <v>3</v>
      </c>
      <c r="G31" s="36" t="s">
        <v>3</v>
      </c>
      <c r="H31" s="36" t="s">
        <v>3</v>
      </c>
      <c r="I31" s="23"/>
      <c r="J31" s="4" t="s">
        <v>3</v>
      </c>
      <c r="K31" s="4" t="s">
        <v>3</v>
      </c>
      <c r="L31" s="29" t="s">
        <v>3</v>
      </c>
      <c r="M31" s="29" t="s">
        <v>3</v>
      </c>
      <c r="N31" s="29" t="s">
        <v>3</v>
      </c>
      <c r="O31" s="29" t="s">
        <v>3</v>
      </c>
      <c r="P31" s="24"/>
      <c r="Q31" s="29" t="s">
        <v>3</v>
      </c>
      <c r="R31" s="29" t="s">
        <v>3</v>
      </c>
      <c r="S31" s="29" t="str">
        <f t="shared" si="1"/>
        <v>A</v>
      </c>
      <c r="T31" s="25"/>
      <c r="U31" s="25"/>
      <c r="V31" s="25"/>
      <c r="W31" s="22"/>
      <c r="X31" s="25"/>
      <c r="Y31" s="25"/>
      <c r="Z31" s="25"/>
      <c r="AA31" s="25"/>
      <c r="AB31" s="25"/>
      <c r="AC31" s="25"/>
      <c r="AD31" s="24"/>
      <c r="AE31" s="25"/>
      <c r="AF31" s="25"/>
      <c r="AG31" s="25"/>
      <c r="AH31" s="29"/>
      <c r="AI31" s="1">
        <f t="shared" si="2"/>
        <v>0</v>
      </c>
      <c r="AJ31" s="1">
        <f>COUNTIF(E31:AH31,"A")</f>
        <v>13</v>
      </c>
      <c r="AK31" s="46">
        <f t="shared" si="3"/>
        <v>0</v>
      </c>
      <c r="AM31" s="81">
        <v>2541348435</v>
      </c>
      <c r="AN31">
        <v>8</v>
      </c>
    </row>
    <row r="32" spans="1:40" x14ac:dyDescent="0.3">
      <c r="A32" s="1">
        <v>29</v>
      </c>
      <c r="B32" s="26">
        <v>2608377764</v>
      </c>
      <c r="C32" s="26" t="s">
        <v>76</v>
      </c>
      <c r="D32" s="44" t="s">
        <v>40</v>
      </c>
      <c r="E32" s="88"/>
      <c r="F32" s="89"/>
      <c r="G32" s="89"/>
      <c r="H32" s="89"/>
      <c r="I32" s="82"/>
      <c r="J32" s="82"/>
      <c r="K32" s="82"/>
      <c r="L32" s="82"/>
      <c r="M32" s="82"/>
      <c r="N32" s="82"/>
      <c r="O32" s="82"/>
      <c r="P32" s="82"/>
      <c r="Q32" s="82"/>
      <c r="R32" s="83"/>
      <c r="S32" s="29">
        <f t="shared" si="1"/>
        <v>8</v>
      </c>
      <c r="T32" s="25"/>
      <c r="U32" s="25"/>
      <c r="V32" s="25"/>
      <c r="W32" s="22"/>
      <c r="X32" s="25"/>
      <c r="Y32" s="25"/>
      <c r="Z32" s="25"/>
      <c r="AA32" s="25"/>
      <c r="AB32" s="25"/>
      <c r="AC32" s="25"/>
      <c r="AD32" s="24"/>
      <c r="AE32" s="25"/>
      <c r="AF32" s="25"/>
      <c r="AG32" s="25"/>
      <c r="AH32" s="29"/>
      <c r="AI32" s="1">
        <f t="shared" si="2"/>
        <v>8</v>
      </c>
      <c r="AJ32" s="1">
        <f t="shared" si="0"/>
        <v>0</v>
      </c>
      <c r="AK32" s="46">
        <f t="shared" si="3"/>
        <v>1</v>
      </c>
      <c r="AM32" s="81"/>
    </row>
    <row r="33" spans="1:40" x14ac:dyDescent="0.3">
      <c r="A33" s="1">
        <v>30</v>
      </c>
      <c r="B33" s="26">
        <v>2632621773</v>
      </c>
      <c r="C33" s="26" t="s">
        <v>77</v>
      </c>
      <c r="D33" s="44" t="s">
        <v>40</v>
      </c>
      <c r="E33" s="90"/>
      <c r="F33" s="91"/>
      <c r="G33" s="91"/>
      <c r="H33" s="91"/>
      <c r="I33" s="84"/>
      <c r="J33" s="84"/>
      <c r="K33" s="84"/>
      <c r="L33" s="84"/>
      <c r="M33" s="84"/>
      <c r="N33" s="84"/>
      <c r="O33" s="84"/>
      <c r="P33" s="84"/>
      <c r="Q33" s="84"/>
      <c r="R33" s="85"/>
      <c r="S33" s="29">
        <f t="shared" si="1"/>
        <v>8</v>
      </c>
      <c r="T33" s="25"/>
      <c r="U33" s="25"/>
      <c r="V33" s="25"/>
      <c r="W33" s="22"/>
      <c r="X33" s="25"/>
      <c r="Y33" s="25"/>
      <c r="Z33" s="25"/>
      <c r="AA33" s="25"/>
      <c r="AB33" s="25"/>
      <c r="AC33" s="25"/>
      <c r="AD33" s="24"/>
      <c r="AE33" s="25"/>
      <c r="AF33" s="25"/>
      <c r="AG33" s="25"/>
      <c r="AH33" s="29"/>
      <c r="AI33" s="1">
        <f t="shared" si="2"/>
        <v>8</v>
      </c>
      <c r="AJ33" s="1">
        <f t="shared" si="0"/>
        <v>0</v>
      </c>
      <c r="AK33" s="46">
        <f t="shared" si="3"/>
        <v>1</v>
      </c>
      <c r="AM33" s="81"/>
    </row>
    <row r="34" spans="1:40" x14ac:dyDescent="0.3">
      <c r="A34" s="1">
        <v>31</v>
      </c>
      <c r="B34" s="26">
        <v>2592247361</v>
      </c>
      <c r="C34" s="26" t="s">
        <v>78</v>
      </c>
      <c r="D34" s="44" t="s">
        <v>40</v>
      </c>
      <c r="E34" s="90"/>
      <c r="F34" s="91"/>
      <c r="G34" s="91"/>
      <c r="H34" s="91"/>
      <c r="I34" s="84"/>
      <c r="J34" s="84"/>
      <c r="K34" s="84"/>
      <c r="L34" s="84"/>
      <c r="M34" s="84"/>
      <c r="N34" s="84"/>
      <c r="O34" s="84"/>
      <c r="P34" s="84"/>
      <c r="Q34" s="84"/>
      <c r="R34" s="85"/>
      <c r="S34" s="29">
        <f t="shared" si="1"/>
        <v>8</v>
      </c>
      <c r="T34" s="25"/>
      <c r="U34" s="25"/>
      <c r="V34" s="25"/>
      <c r="W34" s="22"/>
      <c r="X34" s="25"/>
      <c r="Y34" s="25"/>
      <c r="Z34" s="25"/>
      <c r="AA34" s="25"/>
      <c r="AB34" s="25"/>
      <c r="AC34" s="25"/>
      <c r="AD34" s="24"/>
      <c r="AE34" s="25"/>
      <c r="AF34" s="25"/>
      <c r="AG34" s="25"/>
      <c r="AH34" s="29"/>
      <c r="AI34" s="1">
        <f t="shared" si="2"/>
        <v>8</v>
      </c>
      <c r="AJ34" s="1">
        <f t="shared" si="0"/>
        <v>0</v>
      </c>
      <c r="AK34" s="46">
        <f t="shared" si="3"/>
        <v>1</v>
      </c>
      <c r="AM34" s="81"/>
    </row>
    <row r="35" spans="1:40" x14ac:dyDescent="0.3">
      <c r="A35" s="1">
        <v>32</v>
      </c>
      <c r="B35" s="26">
        <v>2626552117</v>
      </c>
      <c r="C35" s="26" t="s">
        <v>79</v>
      </c>
      <c r="D35" s="44" t="s">
        <v>40</v>
      </c>
      <c r="E35" s="90"/>
      <c r="F35" s="91"/>
      <c r="G35" s="91"/>
      <c r="H35" s="91"/>
      <c r="I35" s="84"/>
      <c r="J35" s="84"/>
      <c r="K35" s="84"/>
      <c r="L35" s="84"/>
      <c r="M35" s="84"/>
      <c r="N35" s="84"/>
      <c r="O35" s="84"/>
      <c r="P35" s="84"/>
      <c r="Q35" s="84"/>
      <c r="R35" s="85"/>
      <c r="S35" s="29">
        <f t="shared" si="1"/>
        <v>8</v>
      </c>
      <c r="T35" s="25"/>
      <c r="U35" s="25"/>
      <c r="V35" s="25"/>
      <c r="W35" s="22"/>
      <c r="X35" s="25"/>
      <c r="Y35" s="25"/>
      <c r="Z35" s="25"/>
      <c r="AA35" s="25"/>
      <c r="AB35" s="25"/>
      <c r="AC35" s="25"/>
      <c r="AD35" s="24"/>
      <c r="AE35" s="25"/>
      <c r="AF35" s="25"/>
      <c r="AG35" s="25"/>
      <c r="AH35" s="29"/>
      <c r="AI35" s="1">
        <f t="shared" si="2"/>
        <v>8</v>
      </c>
      <c r="AJ35" s="1">
        <f t="shared" si="0"/>
        <v>0</v>
      </c>
      <c r="AK35" s="46">
        <f t="shared" si="3"/>
        <v>1</v>
      </c>
      <c r="AM35" s="81"/>
    </row>
    <row r="36" spans="1:40" x14ac:dyDescent="0.3">
      <c r="A36" s="1">
        <v>33</v>
      </c>
      <c r="B36" s="26">
        <v>2541478596</v>
      </c>
      <c r="C36" s="26" t="s">
        <v>80</v>
      </c>
      <c r="D36" s="44" t="s">
        <v>40</v>
      </c>
      <c r="E36" s="90"/>
      <c r="F36" s="91"/>
      <c r="G36" s="91"/>
      <c r="H36" s="91"/>
      <c r="I36" s="84"/>
      <c r="J36" s="84"/>
      <c r="K36" s="84"/>
      <c r="L36" s="84"/>
      <c r="M36" s="84"/>
      <c r="N36" s="84"/>
      <c r="O36" s="84"/>
      <c r="P36" s="84"/>
      <c r="Q36" s="84"/>
      <c r="R36" s="85"/>
      <c r="S36" s="29">
        <f t="shared" si="1"/>
        <v>8</v>
      </c>
      <c r="T36" s="25"/>
      <c r="U36" s="25"/>
      <c r="V36" s="25"/>
      <c r="W36" s="22"/>
      <c r="X36" s="25"/>
      <c r="Y36" s="25"/>
      <c r="Z36" s="25"/>
      <c r="AA36" s="25"/>
      <c r="AB36" s="25"/>
      <c r="AC36" s="25"/>
      <c r="AD36" s="24"/>
      <c r="AE36" s="25"/>
      <c r="AF36" s="25"/>
      <c r="AG36" s="25"/>
      <c r="AH36" s="29"/>
      <c r="AI36" s="1">
        <f t="shared" si="2"/>
        <v>8</v>
      </c>
      <c r="AJ36" s="1">
        <f t="shared" si="0"/>
        <v>0</v>
      </c>
      <c r="AK36" s="46">
        <f t="shared" si="3"/>
        <v>1</v>
      </c>
      <c r="AM36" s="81"/>
    </row>
    <row r="37" spans="1:40" x14ac:dyDescent="0.3">
      <c r="A37" s="1">
        <v>34</v>
      </c>
      <c r="B37" s="26">
        <v>2514740519</v>
      </c>
      <c r="C37" s="26" t="s">
        <v>81</v>
      </c>
      <c r="D37" s="44" t="s">
        <v>40</v>
      </c>
      <c r="E37" s="90"/>
      <c r="F37" s="91"/>
      <c r="G37" s="91"/>
      <c r="H37" s="91"/>
      <c r="I37" s="86"/>
      <c r="J37" s="86"/>
      <c r="K37" s="86"/>
      <c r="L37" s="86"/>
      <c r="M37" s="86"/>
      <c r="N37" s="86"/>
      <c r="O37" s="86"/>
      <c r="P37" s="86"/>
      <c r="Q37" s="86"/>
      <c r="R37" s="87"/>
      <c r="S37" s="29">
        <f t="shared" si="1"/>
        <v>8</v>
      </c>
      <c r="T37" s="25"/>
      <c r="U37" s="25"/>
      <c r="V37" s="25"/>
      <c r="W37" s="22"/>
      <c r="X37" s="25"/>
      <c r="Y37" s="25"/>
      <c r="Z37" s="25"/>
      <c r="AA37" s="25"/>
      <c r="AB37" s="25"/>
      <c r="AC37" s="25"/>
      <c r="AD37" s="24"/>
      <c r="AE37" s="25"/>
      <c r="AF37" s="25"/>
      <c r="AG37" s="25"/>
      <c r="AH37" s="29"/>
      <c r="AI37" s="1">
        <f t="shared" si="2"/>
        <v>8</v>
      </c>
      <c r="AJ37" s="1">
        <f t="shared" si="0"/>
        <v>0</v>
      </c>
      <c r="AK37" s="46">
        <f t="shared" si="3"/>
        <v>1</v>
      </c>
      <c r="AM37" s="81"/>
    </row>
    <row r="38" spans="1:40" x14ac:dyDescent="0.3">
      <c r="A38" s="1">
        <v>35</v>
      </c>
      <c r="B38" s="27">
        <v>2616589319</v>
      </c>
      <c r="C38" s="27" t="s">
        <v>49</v>
      </c>
      <c r="D38" s="27" t="s">
        <v>55</v>
      </c>
      <c r="E38" s="51"/>
      <c r="F38" s="52"/>
      <c r="G38" s="52"/>
      <c r="H38" s="53"/>
      <c r="I38" s="35"/>
      <c r="J38" s="4">
        <v>8</v>
      </c>
      <c r="K38" s="4" t="s">
        <v>3</v>
      </c>
      <c r="L38" s="29">
        <v>8</v>
      </c>
      <c r="M38" s="29">
        <v>8</v>
      </c>
      <c r="N38" s="29" t="s">
        <v>3</v>
      </c>
      <c r="O38" s="29" t="s">
        <v>3</v>
      </c>
      <c r="P38" s="24"/>
      <c r="Q38" s="29" t="s">
        <v>3</v>
      </c>
      <c r="R38" s="29" t="s">
        <v>3</v>
      </c>
      <c r="S38" s="29" t="str">
        <f t="shared" si="1"/>
        <v>A</v>
      </c>
      <c r="T38" s="25"/>
      <c r="U38" s="25"/>
      <c r="V38" s="25"/>
      <c r="W38" s="22"/>
      <c r="X38" s="25"/>
      <c r="Y38" s="25"/>
      <c r="Z38" s="25"/>
      <c r="AA38" s="25"/>
      <c r="AB38" s="25"/>
      <c r="AC38" s="25"/>
      <c r="AD38" s="24"/>
      <c r="AE38" s="25"/>
      <c r="AF38" s="25"/>
      <c r="AG38" s="25"/>
      <c r="AH38" s="29"/>
      <c r="AI38" s="1">
        <f t="shared" si="2"/>
        <v>24</v>
      </c>
      <c r="AJ38" s="1">
        <f t="shared" si="0"/>
        <v>6</v>
      </c>
      <c r="AK38" s="46">
        <f t="shared" si="3"/>
        <v>3</v>
      </c>
      <c r="AM38" s="81">
        <v>2482378326</v>
      </c>
      <c r="AN38">
        <v>8</v>
      </c>
    </row>
    <row r="39" spans="1:40" x14ac:dyDescent="0.3">
      <c r="A39" s="1">
        <v>36</v>
      </c>
      <c r="B39" s="27">
        <v>2600773895</v>
      </c>
      <c r="C39" s="27" t="s">
        <v>50</v>
      </c>
      <c r="D39" s="34" t="s">
        <v>55</v>
      </c>
      <c r="E39" s="51"/>
      <c r="F39" s="52"/>
      <c r="G39" s="52"/>
      <c r="H39" s="53"/>
      <c r="I39" s="35"/>
      <c r="J39" s="4">
        <v>8</v>
      </c>
      <c r="K39" s="4">
        <v>8</v>
      </c>
      <c r="L39" s="29">
        <v>8</v>
      </c>
      <c r="M39" s="29">
        <v>8</v>
      </c>
      <c r="N39" s="29">
        <v>8</v>
      </c>
      <c r="O39" s="29">
        <v>8</v>
      </c>
      <c r="P39" s="24"/>
      <c r="Q39" s="29">
        <v>8</v>
      </c>
      <c r="R39" s="29">
        <v>8</v>
      </c>
      <c r="S39" s="29">
        <f t="shared" si="1"/>
        <v>8</v>
      </c>
      <c r="T39" s="25"/>
      <c r="U39" s="25"/>
      <c r="V39" s="25"/>
      <c r="W39" s="22"/>
      <c r="X39" s="25"/>
      <c r="Y39" s="25"/>
      <c r="Z39" s="25"/>
      <c r="AA39" s="25"/>
      <c r="AB39" s="25"/>
      <c r="AC39" s="25"/>
      <c r="AD39" s="24"/>
      <c r="AE39" s="25"/>
      <c r="AF39" s="25"/>
      <c r="AG39" s="25"/>
      <c r="AH39" s="29"/>
      <c r="AI39" s="1">
        <f t="shared" si="2"/>
        <v>72</v>
      </c>
      <c r="AJ39" s="1">
        <f t="shared" si="0"/>
        <v>0</v>
      </c>
      <c r="AK39" s="46">
        <f t="shared" si="3"/>
        <v>9</v>
      </c>
      <c r="AM39" s="81">
        <v>2597962535</v>
      </c>
      <c r="AN39">
        <v>8</v>
      </c>
    </row>
    <row r="40" spans="1:40" x14ac:dyDescent="0.3">
      <c r="A40" s="1">
        <v>37</v>
      </c>
      <c r="B40" s="27">
        <v>2619221266</v>
      </c>
      <c r="C40" s="27" t="s">
        <v>51</v>
      </c>
      <c r="D40" s="34" t="s">
        <v>55</v>
      </c>
      <c r="E40" s="51"/>
      <c r="F40" s="52"/>
      <c r="G40" s="52"/>
      <c r="H40" s="53"/>
      <c r="I40" s="35"/>
      <c r="J40" s="4">
        <v>8</v>
      </c>
      <c r="K40" s="4">
        <v>8</v>
      </c>
      <c r="L40" s="29">
        <v>8</v>
      </c>
      <c r="M40" s="29">
        <v>8</v>
      </c>
      <c r="N40" s="29">
        <v>8</v>
      </c>
      <c r="O40" s="29">
        <v>8</v>
      </c>
      <c r="P40" s="24"/>
      <c r="Q40" s="29">
        <v>8</v>
      </c>
      <c r="R40" s="29">
        <v>8</v>
      </c>
      <c r="S40" s="29">
        <f t="shared" si="1"/>
        <v>8</v>
      </c>
      <c r="T40" s="25"/>
      <c r="U40" s="25"/>
      <c r="V40" s="25"/>
      <c r="W40" s="22"/>
      <c r="X40" s="25"/>
      <c r="Y40" s="25"/>
      <c r="Z40" s="25"/>
      <c r="AA40" s="25"/>
      <c r="AB40" s="25"/>
      <c r="AC40" s="25"/>
      <c r="AD40" s="24"/>
      <c r="AE40" s="25"/>
      <c r="AF40" s="25"/>
      <c r="AG40" s="25"/>
      <c r="AH40" s="29"/>
      <c r="AI40" s="1">
        <f t="shared" si="2"/>
        <v>72</v>
      </c>
      <c r="AJ40" s="1">
        <f t="shared" si="0"/>
        <v>0</v>
      </c>
      <c r="AK40" s="46">
        <f t="shared" si="3"/>
        <v>9</v>
      </c>
      <c r="AM40" s="81">
        <v>2428628586</v>
      </c>
      <c r="AN40">
        <v>8</v>
      </c>
    </row>
    <row r="41" spans="1:40" x14ac:dyDescent="0.3">
      <c r="A41" s="1">
        <v>38</v>
      </c>
      <c r="B41" s="27">
        <v>2632469744</v>
      </c>
      <c r="C41" s="27" t="s">
        <v>52</v>
      </c>
      <c r="D41" s="34" t="s">
        <v>55</v>
      </c>
      <c r="E41" s="51"/>
      <c r="F41" s="52"/>
      <c r="G41" s="52"/>
      <c r="H41" s="53"/>
      <c r="I41" s="35"/>
      <c r="J41" s="4">
        <v>8</v>
      </c>
      <c r="K41" s="4">
        <v>8</v>
      </c>
      <c r="L41" s="29">
        <v>8</v>
      </c>
      <c r="M41" s="29">
        <v>8</v>
      </c>
      <c r="N41" s="29">
        <v>8</v>
      </c>
      <c r="O41" s="29">
        <v>8</v>
      </c>
      <c r="P41" s="24"/>
      <c r="Q41" s="29">
        <v>8</v>
      </c>
      <c r="R41" s="29">
        <v>8</v>
      </c>
      <c r="S41" s="29">
        <f t="shared" si="1"/>
        <v>8</v>
      </c>
      <c r="T41" s="25"/>
      <c r="U41" s="25"/>
      <c r="V41" s="25"/>
      <c r="W41" s="22"/>
      <c r="X41" s="25"/>
      <c r="Y41" s="25"/>
      <c r="Z41" s="25"/>
      <c r="AA41" s="25"/>
      <c r="AB41" s="25"/>
      <c r="AC41" s="25"/>
      <c r="AD41" s="24"/>
      <c r="AE41" s="25"/>
      <c r="AF41" s="25"/>
      <c r="AG41" s="25"/>
      <c r="AH41" s="29"/>
      <c r="AI41" s="1">
        <f t="shared" si="2"/>
        <v>72</v>
      </c>
      <c r="AJ41" s="1">
        <f t="shared" si="0"/>
        <v>0</v>
      </c>
      <c r="AK41" s="46">
        <f t="shared" si="3"/>
        <v>9</v>
      </c>
      <c r="AM41" s="81">
        <v>2477473041</v>
      </c>
      <c r="AN41">
        <v>8</v>
      </c>
    </row>
    <row r="42" spans="1:40" x14ac:dyDescent="0.3">
      <c r="A42" s="1">
        <v>39</v>
      </c>
      <c r="B42" s="27">
        <v>2627619485</v>
      </c>
      <c r="C42" s="27" t="s">
        <v>53</v>
      </c>
      <c r="D42" s="34" t="s">
        <v>55</v>
      </c>
      <c r="E42" s="51"/>
      <c r="F42" s="52"/>
      <c r="G42" s="52"/>
      <c r="H42" s="53"/>
      <c r="I42" s="35"/>
      <c r="J42" s="4">
        <v>8</v>
      </c>
      <c r="K42" s="4">
        <v>8</v>
      </c>
      <c r="L42" s="29">
        <v>8</v>
      </c>
      <c r="M42" s="29">
        <v>8</v>
      </c>
      <c r="N42" s="29">
        <v>8</v>
      </c>
      <c r="O42" s="29">
        <v>8</v>
      </c>
      <c r="P42" s="24"/>
      <c r="Q42" s="29">
        <v>8</v>
      </c>
      <c r="R42" s="29">
        <v>8</v>
      </c>
      <c r="S42" s="29">
        <f t="shared" si="1"/>
        <v>8</v>
      </c>
      <c r="T42" s="25"/>
      <c r="U42" s="25"/>
      <c r="V42" s="25"/>
      <c r="W42" s="22"/>
      <c r="X42" s="25"/>
      <c r="Y42" s="25"/>
      <c r="Z42" s="25"/>
      <c r="AA42" s="25"/>
      <c r="AB42" s="25"/>
      <c r="AC42" s="25"/>
      <c r="AD42" s="24"/>
      <c r="AE42" s="25"/>
      <c r="AF42" s="25"/>
      <c r="AG42" s="25"/>
      <c r="AH42" s="29"/>
      <c r="AI42" s="1">
        <f t="shared" si="2"/>
        <v>72</v>
      </c>
      <c r="AJ42" s="1">
        <f t="shared" si="0"/>
        <v>0</v>
      </c>
      <c r="AK42" s="46">
        <f t="shared" si="3"/>
        <v>9</v>
      </c>
      <c r="AM42" s="81">
        <v>2522554281</v>
      </c>
      <c r="AN42">
        <v>8</v>
      </c>
    </row>
    <row r="43" spans="1:40" x14ac:dyDescent="0.3">
      <c r="A43" s="1">
        <v>40</v>
      </c>
      <c r="B43" s="27">
        <v>2449070552</v>
      </c>
      <c r="C43" s="27" t="s">
        <v>54</v>
      </c>
      <c r="D43" s="34" t="s">
        <v>55</v>
      </c>
      <c r="E43" s="51"/>
      <c r="F43" s="52"/>
      <c r="G43" s="52"/>
      <c r="H43" s="53"/>
      <c r="I43" s="23"/>
      <c r="J43" s="4">
        <v>8</v>
      </c>
      <c r="K43" s="4">
        <v>8</v>
      </c>
      <c r="L43" s="29" t="s">
        <v>3</v>
      </c>
      <c r="M43" s="29" t="s">
        <v>3</v>
      </c>
      <c r="N43" s="29" t="s">
        <v>3</v>
      </c>
      <c r="O43" s="29" t="s">
        <v>3</v>
      </c>
      <c r="P43" s="24"/>
      <c r="Q43" s="29" t="s">
        <v>3</v>
      </c>
      <c r="R43" s="29" t="s">
        <v>3</v>
      </c>
      <c r="S43" s="29" t="str">
        <f t="shared" si="1"/>
        <v>A</v>
      </c>
      <c r="T43" s="25"/>
      <c r="U43" s="25"/>
      <c r="V43" s="25"/>
      <c r="W43" s="22"/>
      <c r="X43" s="25"/>
      <c r="Y43" s="25"/>
      <c r="Z43" s="25"/>
      <c r="AA43" s="25"/>
      <c r="AB43" s="25"/>
      <c r="AC43" s="25"/>
      <c r="AD43" s="24"/>
      <c r="AE43" s="25"/>
      <c r="AF43" s="25"/>
      <c r="AG43" s="25"/>
      <c r="AH43" s="29"/>
      <c r="AI43" s="1">
        <f t="shared" si="2"/>
        <v>16</v>
      </c>
      <c r="AJ43" s="1">
        <f t="shared" si="0"/>
        <v>7</v>
      </c>
      <c r="AK43" s="46">
        <f t="shared" si="3"/>
        <v>2</v>
      </c>
      <c r="AM43" s="81">
        <v>2553132446</v>
      </c>
      <c r="AN43">
        <v>8</v>
      </c>
    </row>
    <row r="44" spans="1:40" x14ac:dyDescent="0.3">
      <c r="A44" s="1">
        <v>41</v>
      </c>
      <c r="B44" s="26">
        <v>2541348435</v>
      </c>
      <c r="C44" s="26" t="s">
        <v>56</v>
      </c>
      <c r="D44" s="44" t="s">
        <v>55</v>
      </c>
      <c r="E44" s="51"/>
      <c r="F44" s="52"/>
      <c r="G44" s="52"/>
      <c r="H44" s="52"/>
      <c r="I44" s="52"/>
      <c r="J44" s="52"/>
      <c r="K44" s="53"/>
      <c r="L44" s="45">
        <v>8</v>
      </c>
      <c r="M44" s="29">
        <v>8</v>
      </c>
      <c r="N44" s="29">
        <v>8</v>
      </c>
      <c r="O44" s="29">
        <v>8</v>
      </c>
      <c r="P44" s="24"/>
      <c r="Q44" s="29">
        <v>8</v>
      </c>
      <c r="R44" s="29">
        <v>8</v>
      </c>
      <c r="S44" s="29">
        <f t="shared" si="1"/>
        <v>8</v>
      </c>
      <c r="T44" s="25"/>
      <c r="U44" s="25"/>
      <c r="V44" s="25"/>
      <c r="W44" s="22"/>
      <c r="X44" s="25"/>
      <c r="Y44" s="25"/>
      <c r="Z44" s="25"/>
      <c r="AA44" s="25"/>
      <c r="AB44" s="25"/>
      <c r="AC44" s="25"/>
      <c r="AD44" s="24"/>
      <c r="AE44" s="25"/>
      <c r="AF44" s="25"/>
      <c r="AG44" s="25"/>
      <c r="AH44" s="29"/>
      <c r="AI44" s="1">
        <f t="shared" si="2"/>
        <v>56</v>
      </c>
      <c r="AJ44" s="1">
        <f t="shared" si="0"/>
        <v>0</v>
      </c>
      <c r="AK44" s="46">
        <f t="shared" si="3"/>
        <v>7</v>
      </c>
      <c r="AM44" s="81">
        <v>2594736726</v>
      </c>
      <c r="AN44">
        <v>8</v>
      </c>
    </row>
    <row r="45" spans="1:40" x14ac:dyDescent="0.3">
      <c r="A45" s="1">
        <v>42</v>
      </c>
      <c r="B45" s="26">
        <v>2594736726</v>
      </c>
      <c r="C45" s="26" t="s">
        <v>57</v>
      </c>
      <c r="D45" s="44" t="s">
        <v>55</v>
      </c>
      <c r="E45" s="51"/>
      <c r="F45" s="52"/>
      <c r="G45" s="52"/>
      <c r="H45" s="52"/>
      <c r="I45" s="52"/>
      <c r="J45" s="52"/>
      <c r="K45" s="53"/>
      <c r="L45" s="45">
        <v>8</v>
      </c>
      <c r="M45" s="29">
        <v>8</v>
      </c>
      <c r="N45" s="29">
        <v>8</v>
      </c>
      <c r="O45" s="29">
        <v>8</v>
      </c>
      <c r="P45" s="24"/>
      <c r="Q45" s="29" t="s">
        <v>3</v>
      </c>
      <c r="R45" s="29">
        <v>8</v>
      </c>
      <c r="S45" s="29">
        <f t="shared" si="1"/>
        <v>8</v>
      </c>
      <c r="T45" s="25"/>
      <c r="U45" s="25"/>
      <c r="V45" s="25"/>
      <c r="W45" s="22"/>
      <c r="X45" s="25"/>
      <c r="Y45" s="25"/>
      <c r="Z45" s="25"/>
      <c r="AA45" s="25"/>
      <c r="AB45" s="25"/>
      <c r="AC45" s="25"/>
      <c r="AD45" s="24"/>
      <c r="AE45" s="25"/>
      <c r="AF45" s="25"/>
      <c r="AG45" s="25"/>
      <c r="AH45" s="29"/>
      <c r="AI45" s="1">
        <f t="shared" si="2"/>
        <v>48</v>
      </c>
      <c r="AJ45" s="1">
        <f t="shared" si="0"/>
        <v>1</v>
      </c>
      <c r="AK45" s="46">
        <f t="shared" si="3"/>
        <v>6</v>
      </c>
    </row>
    <row r="46" spans="1:40" x14ac:dyDescent="0.3">
      <c r="A46" s="1">
        <v>43</v>
      </c>
      <c r="B46" s="26">
        <v>2482378326</v>
      </c>
      <c r="C46" s="26" t="s">
        <v>58</v>
      </c>
      <c r="D46" s="44" t="s">
        <v>55</v>
      </c>
      <c r="E46" s="51"/>
      <c r="F46" s="52"/>
      <c r="G46" s="52"/>
      <c r="H46" s="52"/>
      <c r="I46" s="52"/>
      <c r="J46" s="52"/>
      <c r="K46" s="53"/>
      <c r="L46" s="45">
        <v>8</v>
      </c>
      <c r="M46" s="29">
        <v>8</v>
      </c>
      <c r="N46" s="29">
        <v>8</v>
      </c>
      <c r="O46" s="29">
        <v>8</v>
      </c>
      <c r="P46" s="24"/>
      <c r="Q46" s="29">
        <v>8</v>
      </c>
      <c r="R46" s="29">
        <v>8</v>
      </c>
      <c r="S46" s="29">
        <f t="shared" si="1"/>
        <v>8</v>
      </c>
      <c r="T46" s="25"/>
      <c r="U46" s="25"/>
      <c r="V46" s="25"/>
      <c r="W46" s="22"/>
      <c r="X46" s="25"/>
      <c r="Y46" s="25"/>
      <c r="Z46" s="25"/>
      <c r="AA46" s="25"/>
      <c r="AB46" s="25"/>
      <c r="AC46" s="25"/>
      <c r="AD46" s="24"/>
      <c r="AE46" s="25"/>
      <c r="AF46" s="25"/>
      <c r="AG46" s="25"/>
      <c r="AH46" s="29"/>
      <c r="AI46" s="1">
        <f t="shared" si="2"/>
        <v>56</v>
      </c>
      <c r="AJ46" s="1">
        <f t="shared" si="0"/>
        <v>0</v>
      </c>
      <c r="AK46" s="46">
        <f t="shared" si="3"/>
        <v>7</v>
      </c>
    </row>
    <row r="47" spans="1:40" x14ac:dyDescent="0.3">
      <c r="A47" s="1">
        <v>44</v>
      </c>
      <c r="B47" s="26">
        <v>2597962535</v>
      </c>
      <c r="C47" s="26" t="s">
        <v>59</v>
      </c>
      <c r="D47" s="44" t="s">
        <v>55</v>
      </c>
      <c r="E47" s="51"/>
      <c r="F47" s="52"/>
      <c r="G47" s="52"/>
      <c r="H47" s="52"/>
      <c r="I47" s="52"/>
      <c r="J47" s="52"/>
      <c r="K47" s="53"/>
      <c r="L47" s="45">
        <v>8</v>
      </c>
      <c r="M47" s="29">
        <v>8</v>
      </c>
      <c r="N47" s="29">
        <v>8</v>
      </c>
      <c r="O47" s="29">
        <v>8</v>
      </c>
      <c r="P47" s="24"/>
      <c r="Q47" s="29">
        <v>8</v>
      </c>
      <c r="R47" s="29">
        <v>8</v>
      </c>
      <c r="S47" s="29">
        <f t="shared" si="1"/>
        <v>8</v>
      </c>
      <c r="T47" s="25"/>
      <c r="U47" s="25"/>
      <c r="V47" s="25"/>
      <c r="W47" s="22"/>
      <c r="X47" s="25"/>
      <c r="Y47" s="25"/>
      <c r="Z47" s="25"/>
      <c r="AA47" s="25"/>
      <c r="AB47" s="25"/>
      <c r="AC47" s="25"/>
      <c r="AD47" s="24"/>
      <c r="AE47" s="25"/>
      <c r="AF47" s="25"/>
      <c r="AG47" s="25"/>
      <c r="AH47" s="29"/>
      <c r="AI47" s="1">
        <f t="shared" si="2"/>
        <v>56</v>
      </c>
      <c r="AJ47" s="1">
        <f t="shared" si="0"/>
        <v>0</v>
      </c>
      <c r="AK47" s="46">
        <f t="shared" si="3"/>
        <v>7</v>
      </c>
    </row>
    <row r="48" spans="1:40" x14ac:dyDescent="0.3">
      <c r="A48" s="1">
        <v>45</v>
      </c>
      <c r="B48" s="26">
        <v>2576388900</v>
      </c>
      <c r="C48" s="26" t="s">
        <v>60</v>
      </c>
      <c r="D48" s="26" t="s">
        <v>55</v>
      </c>
      <c r="E48" s="51"/>
      <c r="F48" s="52"/>
      <c r="G48" s="52"/>
      <c r="H48" s="52"/>
      <c r="I48" s="52"/>
      <c r="J48" s="52"/>
      <c r="K48" s="53"/>
      <c r="L48" s="45">
        <v>8</v>
      </c>
      <c r="M48" s="29">
        <v>8</v>
      </c>
      <c r="N48" s="29" t="s">
        <v>3</v>
      </c>
      <c r="O48" s="29" t="s">
        <v>3</v>
      </c>
      <c r="P48" s="24"/>
      <c r="Q48" s="29" t="s">
        <v>3</v>
      </c>
      <c r="R48" s="29" t="s">
        <v>3</v>
      </c>
      <c r="S48" s="29" t="str">
        <f t="shared" si="1"/>
        <v>A</v>
      </c>
      <c r="T48" s="25"/>
      <c r="U48" s="25"/>
      <c r="V48" s="25"/>
      <c r="W48" s="22"/>
      <c r="X48" s="25"/>
      <c r="Y48" s="25"/>
      <c r="Z48" s="25"/>
      <c r="AA48" s="25"/>
      <c r="AB48" s="25"/>
      <c r="AC48" s="25"/>
      <c r="AD48" s="24"/>
      <c r="AE48" s="25"/>
      <c r="AF48" s="25"/>
      <c r="AG48" s="25"/>
      <c r="AH48" s="29"/>
      <c r="AI48" s="1">
        <f t="shared" si="2"/>
        <v>16</v>
      </c>
      <c r="AJ48" s="1">
        <f t="shared" si="0"/>
        <v>5</v>
      </c>
      <c r="AK48" s="46">
        <f t="shared" si="3"/>
        <v>2</v>
      </c>
    </row>
    <row r="49" spans="1:37" x14ac:dyDescent="0.3">
      <c r="A49" s="1">
        <v>46</v>
      </c>
      <c r="B49" s="26">
        <v>2630403315</v>
      </c>
      <c r="C49" s="26" t="s">
        <v>64</v>
      </c>
      <c r="D49" s="26" t="s">
        <v>55</v>
      </c>
      <c r="E49" s="51"/>
      <c r="F49" s="52"/>
      <c r="G49" s="52"/>
      <c r="H49" s="52"/>
      <c r="I49" s="52"/>
      <c r="J49" s="52"/>
      <c r="K49" s="52"/>
      <c r="L49" s="55"/>
      <c r="M49" s="55"/>
      <c r="N49" s="55"/>
      <c r="O49" s="55"/>
      <c r="P49" s="56"/>
      <c r="Q49" s="29">
        <v>8</v>
      </c>
      <c r="R49" s="29" t="s">
        <v>3</v>
      </c>
      <c r="S49" s="29" t="str">
        <f t="shared" si="1"/>
        <v>A</v>
      </c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1"/>
      <c r="AE49" s="42"/>
      <c r="AF49" s="42"/>
      <c r="AG49" s="42"/>
      <c r="AH49" s="39"/>
      <c r="AI49" s="1">
        <f t="shared" si="2"/>
        <v>8</v>
      </c>
      <c r="AJ49" s="1">
        <f t="shared" ref="AJ49:AJ58" si="4">COUNTIF(E49:AH49,"A")</f>
        <v>2</v>
      </c>
      <c r="AK49" s="46">
        <f t="shared" si="3"/>
        <v>1</v>
      </c>
    </row>
    <row r="50" spans="1:37" x14ac:dyDescent="0.3">
      <c r="A50" s="1">
        <v>47</v>
      </c>
      <c r="B50" s="26">
        <v>2428628586</v>
      </c>
      <c r="C50" s="26" t="s">
        <v>65</v>
      </c>
      <c r="D50" s="26" t="s">
        <v>55</v>
      </c>
      <c r="E50" s="51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3"/>
      <c r="Q50" s="29">
        <v>8</v>
      </c>
      <c r="R50" s="29">
        <v>8</v>
      </c>
      <c r="S50" s="29">
        <f t="shared" si="1"/>
        <v>8</v>
      </c>
      <c r="T50" s="42"/>
      <c r="U50" s="42"/>
      <c r="V50" s="42"/>
      <c r="W50" s="43"/>
      <c r="X50" s="42"/>
      <c r="Y50" s="42"/>
      <c r="Z50" s="42"/>
      <c r="AA50" s="42"/>
      <c r="AB50" s="42"/>
      <c r="AC50" s="42"/>
      <c r="AD50" s="41"/>
      <c r="AE50" s="42"/>
      <c r="AF50" s="42"/>
      <c r="AG50" s="42"/>
      <c r="AH50" s="39"/>
      <c r="AI50" s="1">
        <f t="shared" si="2"/>
        <v>24</v>
      </c>
      <c r="AJ50" s="1">
        <f t="shared" si="4"/>
        <v>0</v>
      </c>
      <c r="AK50" s="46">
        <f t="shared" si="3"/>
        <v>3</v>
      </c>
    </row>
    <row r="51" spans="1:37" x14ac:dyDescent="0.3">
      <c r="A51" s="1">
        <v>48</v>
      </c>
      <c r="B51" s="26">
        <v>2600481283</v>
      </c>
      <c r="C51" s="26" t="s">
        <v>66</v>
      </c>
      <c r="D51" s="26" t="s">
        <v>55</v>
      </c>
      <c r="E51" s="51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3"/>
      <c r="Q51" s="29">
        <v>8</v>
      </c>
      <c r="R51" s="29" t="s">
        <v>3</v>
      </c>
      <c r="S51" s="29" t="str">
        <f t="shared" si="1"/>
        <v>A</v>
      </c>
      <c r="T51" s="42"/>
      <c r="U51" s="42"/>
      <c r="V51" s="42"/>
      <c r="W51" s="43"/>
      <c r="X51" s="42"/>
      <c r="Y51" s="42"/>
      <c r="Z51" s="42"/>
      <c r="AA51" s="42"/>
      <c r="AB51" s="42"/>
      <c r="AC51" s="42"/>
      <c r="AD51" s="41"/>
      <c r="AE51" s="42"/>
      <c r="AF51" s="42"/>
      <c r="AG51" s="42"/>
      <c r="AH51" s="39"/>
      <c r="AI51" s="1">
        <f t="shared" si="2"/>
        <v>8</v>
      </c>
      <c r="AJ51" s="1">
        <f t="shared" si="4"/>
        <v>2</v>
      </c>
      <c r="AK51" s="46">
        <f t="shared" si="3"/>
        <v>1</v>
      </c>
    </row>
    <row r="52" spans="1:37" x14ac:dyDescent="0.3">
      <c r="A52" s="1">
        <v>49</v>
      </c>
      <c r="B52" s="26">
        <v>2616299372</v>
      </c>
      <c r="C52" s="26" t="s">
        <v>67</v>
      </c>
      <c r="D52" s="26" t="s">
        <v>55</v>
      </c>
      <c r="E52" s="51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3"/>
      <c r="Q52" s="29">
        <v>8</v>
      </c>
      <c r="R52" s="29" t="s">
        <v>3</v>
      </c>
      <c r="S52" s="29" t="str">
        <f t="shared" si="1"/>
        <v>A</v>
      </c>
      <c r="T52" s="42"/>
      <c r="U52" s="42"/>
      <c r="V52" s="42"/>
      <c r="W52" s="43"/>
      <c r="X52" s="42"/>
      <c r="Y52" s="42"/>
      <c r="Z52" s="42"/>
      <c r="AA52" s="42"/>
      <c r="AB52" s="42"/>
      <c r="AC52" s="42"/>
      <c r="AD52" s="41"/>
      <c r="AE52" s="42"/>
      <c r="AF52" s="42"/>
      <c r="AG52" s="42"/>
      <c r="AH52" s="39"/>
      <c r="AI52" s="1">
        <f t="shared" si="2"/>
        <v>8</v>
      </c>
      <c r="AJ52" s="1">
        <f t="shared" si="4"/>
        <v>2</v>
      </c>
      <c r="AK52" s="46">
        <f t="shared" si="3"/>
        <v>1</v>
      </c>
    </row>
    <row r="53" spans="1:37" x14ac:dyDescent="0.3">
      <c r="A53" s="1">
        <v>50</v>
      </c>
      <c r="B53" s="26">
        <v>2622867485</v>
      </c>
      <c r="C53" s="26" t="s">
        <v>68</v>
      </c>
      <c r="D53" s="26" t="s">
        <v>55</v>
      </c>
      <c r="E53" s="51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3"/>
      <c r="Q53" s="29">
        <v>8</v>
      </c>
      <c r="R53" s="29" t="s">
        <v>3</v>
      </c>
      <c r="S53" s="29" t="str">
        <f t="shared" si="1"/>
        <v>A</v>
      </c>
      <c r="T53" s="42"/>
      <c r="U53" s="42"/>
      <c r="V53" s="42"/>
      <c r="W53" s="43"/>
      <c r="X53" s="42"/>
      <c r="Y53" s="42"/>
      <c r="Z53" s="42"/>
      <c r="AA53" s="42"/>
      <c r="AB53" s="42"/>
      <c r="AC53" s="42"/>
      <c r="AD53" s="41"/>
      <c r="AE53" s="42"/>
      <c r="AF53" s="42"/>
      <c r="AG53" s="42"/>
      <c r="AH53" s="39"/>
      <c r="AI53" s="1">
        <f t="shared" si="2"/>
        <v>8</v>
      </c>
      <c r="AJ53" s="1">
        <f t="shared" si="4"/>
        <v>2</v>
      </c>
      <c r="AK53" s="46">
        <f t="shared" si="3"/>
        <v>1</v>
      </c>
    </row>
    <row r="54" spans="1:37" x14ac:dyDescent="0.3">
      <c r="A54" s="1">
        <v>51</v>
      </c>
      <c r="B54" s="26">
        <v>2477473041</v>
      </c>
      <c r="C54" s="26" t="s">
        <v>69</v>
      </c>
      <c r="D54" s="26" t="s">
        <v>55</v>
      </c>
      <c r="E54" s="51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3"/>
      <c r="Q54" s="29">
        <v>8</v>
      </c>
      <c r="R54" s="29">
        <v>8</v>
      </c>
      <c r="S54" s="29">
        <f t="shared" si="1"/>
        <v>8</v>
      </c>
      <c r="T54" s="42"/>
      <c r="U54" s="42"/>
      <c r="V54" s="42"/>
      <c r="W54" s="43"/>
      <c r="X54" s="42"/>
      <c r="Y54" s="42"/>
      <c r="Z54" s="42"/>
      <c r="AA54" s="42"/>
      <c r="AB54" s="42"/>
      <c r="AC54" s="42"/>
      <c r="AD54" s="41"/>
      <c r="AE54" s="42"/>
      <c r="AF54" s="42"/>
      <c r="AG54" s="42"/>
      <c r="AH54" s="39"/>
      <c r="AI54" s="1">
        <f t="shared" si="2"/>
        <v>24</v>
      </c>
      <c r="AJ54" s="1">
        <f t="shared" si="4"/>
        <v>0</v>
      </c>
      <c r="AK54" s="46">
        <f t="shared" si="3"/>
        <v>3</v>
      </c>
    </row>
    <row r="55" spans="1:37" x14ac:dyDescent="0.3">
      <c r="A55" s="1">
        <v>52</v>
      </c>
      <c r="B55" s="26">
        <v>2522554281</v>
      </c>
      <c r="C55" s="26" t="s">
        <v>70</v>
      </c>
      <c r="D55" s="26" t="s">
        <v>55</v>
      </c>
      <c r="E55" s="51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3"/>
      <c r="Q55" s="29">
        <v>8</v>
      </c>
      <c r="R55" s="29">
        <v>8</v>
      </c>
      <c r="S55" s="29">
        <f t="shared" si="1"/>
        <v>8</v>
      </c>
      <c r="T55" s="42"/>
      <c r="U55" s="42"/>
      <c r="V55" s="42"/>
      <c r="W55" s="43"/>
      <c r="X55" s="42"/>
      <c r="Y55" s="42"/>
      <c r="Z55" s="42"/>
      <c r="AA55" s="42"/>
      <c r="AB55" s="42"/>
      <c r="AC55" s="42"/>
      <c r="AD55" s="41"/>
      <c r="AE55" s="42"/>
      <c r="AF55" s="42"/>
      <c r="AG55" s="42"/>
      <c r="AH55" s="39"/>
      <c r="AI55" s="1">
        <f t="shared" si="2"/>
        <v>24</v>
      </c>
      <c r="AJ55" s="1">
        <f t="shared" si="4"/>
        <v>0</v>
      </c>
      <c r="AK55" s="46">
        <f t="shared" si="3"/>
        <v>3</v>
      </c>
    </row>
    <row r="56" spans="1:37" x14ac:dyDescent="0.3">
      <c r="A56" s="1">
        <v>53</v>
      </c>
      <c r="B56" s="26">
        <v>2553132446</v>
      </c>
      <c r="C56" s="26" t="s">
        <v>71</v>
      </c>
      <c r="D56" s="26" t="s">
        <v>55</v>
      </c>
      <c r="E56" s="51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3"/>
      <c r="Q56" s="29">
        <v>8</v>
      </c>
      <c r="R56" s="29" t="s">
        <v>3</v>
      </c>
      <c r="S56" s="29">
        <f t="shared" si="1"/>
        <v>8</v>
      </c>
      <c r="T56" s="42"/>
      <c r="U56" s="42"/>
      <c r="V56" s="42"/>
      <c r="W56" s="43"/>
      <c r="X56" s="42"/>
      <c r="Y56" s="42"/>
      <c r="Z56" s="42"/>
      <c r="AA56" s="42"/>
      <c r="AB56" s="42"/>
      <c r="AC56" s="42"/>
      <c r="AD56" s="41"/>
      <c r="AE56" s="42"/>
      <c r="AF56" s="42"/>
      <c r="AG56" s="42"/>
      <c r="AH56" s="39"/>
      <c r="AI56" s="1">
        <f t="shared" si="2"/>
        <v>16</v>
      </c>
      <c r="AJ56" s="1">
        <f t="shared" si="4"/>
        <v>1</v>
      </c>
      <c r="AK56" s="46">
        <f t="shared" si="3"/>
        <v>2</v>
      </c>
    </row>
    <row r="57" spans="1:37" x14ac:dyDescent="0.3">
      <c r="A57" s="1">
        <v>54</v>
      </c>
      <c r="B57" s="26">
        <v>2629289253</v>
      </c>
      <c r="C57" s="26" t="s">
        <v>72</v>
      </c>
      <c r="D57" s="26" t="s">
        <v>55</v>
      </c>
      <c r="E57" s="57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9"/>
      <c r="Q57" s="29">
        <v>8</v>
      </c>
      <c r="R57" s="29" t="s">
        <v>3</v>
      </c>
      <c r="S57" s="29" t="str">
        <f t="shared" si="1"/>
        <v>A</v>
      </c>
      <c r="T57" s="42"/>
      <c r="U57" s="42"/>
      <c r="V57" s="42"/>
      <c r="W57" s="43"/>
      <c r="X57" s="42"/>
      <c r="Y57" s="42"/>
      <c r="Z57" s="42"/>
      <c r="AA57" s="42"/>
      <c r="AB57" s="42"/>
      <c r="AC57" s="42"/>
      <c r="AD57" s="41"/>
      <c r="AE57" s="42"/>
      <c r="AF57" s="42"/>
      <c r="AG57" s="42"/>
      <c r="AH57" s="39"/>
      <c r="AI57" s="1">
        <f t="shared" si="2"/>
        <v>8</v>
      </c>
      <c r="AJ57" s="1">
        <f t="shared" si="4"/>
        <v>2</v>
      </c>
      <c r="AK57" s="46">
        <f t="shared" si="3"/>
        <v>1</v>
      </c>
    </row>
    <row r="58" spans="1:37" x14ac:dyDescent="0.3">
      <c r="D58" s="31" t="s">
        <v>45</v>
      </c>
      <c r="E58" s="92">
        <f>COUNTIF(E4:E57,"8")</f>
        <v>17</v>
      </c>
      <c r="F58" s="92">
        <f>COUNTIF(F4:F57,"8")</f>
        <v>15</v>
      </c>
      <c r="G58" s="92">
        <f>COUNTIF(G4:G57,"8")</f>
        <v>15</v>
      </c>
      <c r="H58" s="92">
        <f>COUNTIF(H4:H57,"8")</f>
        <v>14</v>
      </c>
      <c r="I58" s="92">
        <f>COUNTIF(I4:I57,"8")</f>
        <v>0</v>
      </c>
      <c r="J58" s="92">
        <f>COUNTIF(J4:J57,"8")</f>
        <v>22</v>
      </c>
      <c r="K58" s="92">
        <f>COUNTIF(K4:K57,"8")</f>
        <v>19</v>
      </c>
      <c r="L58" s="92">
        <f>COUNTIF(L4:L57,"8")</f>
        <v>25</v>
      </c>
      <c r="M58" s="92">
        <f>COUNTIF(M4:M57,"8")</f>
        <v>23</v>
      </c>
      <c r="N58" s="92">
        <f>COUNTIF(N4:N57,"8")</f>
        <v>22</v>
      </c>
      <c r="O58" s="92">
        <f>COUNTIF(O4:O57,"8")</f>
        <v>25</v>
      </c>
      <c r="P58" s="92">
        <f>COUNTIF(P4:P57,"8")</f>
        <v>0</v>
      </c>
      <c r="Q58" s="92">
        <v>34</v>
      </c>
      <c r="R58" s="92">
        <v>27</v>
      </c>
      <c r="S58" s="92">
        <f>COUNTIF(S4:S57,"8")</f>
        <v>35</v>
      </c>
      <c r="T58" s="92">
        <f>COUNTIF(T4:T57,"8")</f>
        <v>0</v>
      </c>
      <c r="U58" s="92">
        <f>COUNTIF(U4:U57,"8")</f>
        <v>0</v>
      </c>
      <c r="V58" s="92">
        <f>COUNTIF(V4:V57,"8")</f>
        <v>0</v>
      </c>
      <c r="W58" s="92">
        <f>COUNTIF(W4:W57,"8")</f>
        <v>0</v>
      </c>
      <c r="X58" s="92">
        <f>COUNTIF(X4:X57,"8")</f>
        <v>0</v>
      </c>
      <c r="Y58" s="92">
        <f>COUNTIF(Y4:Y57,"8")</f>
        <v>0</v>
      </c>
      <c r="Z58" s="92">
        <f>COUNTIF(Z4:Z57,"8")</f>
        <v>0</v>
      </c>
      <c r="AA58" s="92">
        <f>COUNTIF(AA4:AA57,"8")</f>
        <v>0</v>
      </c>
      <c r="AB58" s="92">
        <f>COUNTIF(AB4:AB57,"8")</f>
        <v>0</v>
      </c>
      <c r="AC58" s="92">
        <f>COUNTIF(AC4:AC57,"8")</f>
        <v>0</v>
      </c>
      <c r="AD58" s="92">
        <f>COUNTIF(AD4:AD57,"8")</f>
        <v>0</v>
      </c>
      <c r="AE58" s="92">
        <f>COUNTIF(AE4:AE57,"8")</f>
        <v>0</v>
      </c>
      <c r="AF58" s="92">
        <f>COUNTIF(AF4:AF57,"8")</f>
        <v>0</v>
      </c>
      <c r="AG58" s="92">
        <f>COUNTIF(AG4:AG57,"8")</f>
        <v>0</v>
      </c>
      <c r="AH58" s="92">
        <f>COUNTIF(AH4:AH57,"8")</f>
        <v>0</v>
      </c>
      <c r="AI58" s="93">
        <f t="shared" ref="AI58" si="5">SUM(E58:AH58)</f>
        <v>293</v>
      </c>
      <c r="AJ58" s="93">
        <f t="shared" si="4"/>
        <v>0</v>
      </c>
      <c r="AK58">
        <f t="shared" ref="AK58" si="6">COUNTIF(E58:R58,"8")</f>
        <v>0</v>
      </c>
    </row>
    <row r="59" spans="1:37" x14ac:dyDescent="0.3">
      <c r="C59" s="64" t="s">
        <v>46</v>
      </c>
      <c r="D59" s="1" t="s">
        <v>74</v>
      </c>
      <c r="E59" s="62">
        <f>COUNTIF(E4:E13,"8")</f>
        <v>9</v>
      </c>
      <c r="F59" s="62">
        <f t="shared" ref="F59:S59" si="7">COUNTIF(F4:F13,"8")</f>
        <v>7</v>
      </c>
      <c r="G59" s="62">
        <f t="shared" si="7"/>
        <v>8</v>
      </c>
      <c r="H59" s="62">
        <f t="shared" si="7"/>
        <v>6</v>
      </c>
      <c r="I59" s="62">
        <f t="shared" si="7"/>
        <v>0</v>
      </c>
      <c r="J59" s="62">
        <f t="shared" si="7"/>
        <v>8</v>
      </c>
      <c r="K59" s="62">
        <f t="shared" si="7"/>
        <v>8</v>
      </c>
      <c r="L59" s="62">
        <f t="shared" si="7"/>
        <v>6</v>
      </c>
      <c r="M59" s="62">
        <f t="shared" si="7"/>
        <v>6</v>
      </c>
      <c r="N59" s="62">
        <f t="shared" si="7"/>
        <v>7</v>
      </c>
      <c r="O59" s="62">
        <f t="shared" si="7"/>
        <v>7</v>
      </c>
      <c r="P59" s="62">
        <f t="shared" si="7"/>
        <v>0</v>
      </c>
      <c r="Q59" s="62">
        <f t="shared" si="7"/>
        <v>9</v>
      </c>
      <c r="R59" s="62">
        <f t="shared" si="7"/>
        <v>8</v>
      </c>
      <c r="S59" s="62">
        <f t="shared" si="7"/>
        <v>9</v>
      </c>
      <c r="T59" s="62">
        <f t="shared" ref="T59:AJ59" si="8">COUNTIF(T4:T13,"8")</f>
        <v>0</v>
      </c>
      <c r="U59" s="62">
        <f t="shared" si="8"/>
        <v>0</v>
      </c>
      <c r="V59" s="62">
        <f t="shared" si="8"/>
        <v>0</v>
      </c>
      <c r="W59" s="62">
        <f t="shared" si="8"/>
        <v>0</v>
      </c>
      <c r="X59" s="62">
        <f t="shared" si="8"/>
        <v>0</v>
      </c>
      <c r="Y59" s="62">
        <f t="shared" si="8"/>
        <v>0</v>
      </c>
      <c r="Z59" s="62">
        <f t="shared" si="8"/>
        <v>0</v>
      </c>
      <c r="AA59" s="62">
        <f t="shared" si="8"/>
        <v>0</v>
      </c>
      <c r="AB59" s="62">
        <f t="shared" si="8"/>
        <v>0</v>
      </c>
      <c r="AC59" s="62">
        <f t="shared" si="8"/>
        <v>0</v>
      </c>
      <c r="AD59" s="62">
        <f t="shared" si="8"/>
        <v>0</v>
      </c>
      <c r="AE59" s="62">
        <f t="shared" si="8"/>
        <v>0</v>
      </c>
      <c r="AF59" s="62">
        <f t="shared" si="8"/>
        <v>0</v>
      </c>
      <c r="AG59" s="62">
        <f t="shared" si="8"/>
        <v>0</v>
      </c>
      <c r="AH59" s="62">
        <f t="shared" si="8"/>
        <v>0</v>
      </c>
      <c r="AI59" s="62">
        <f t="shared" si="8"/>
        <v>1</v>
      </c>
      <c r="AJ59" s="62">
        <f t="shared" si="8"/>
        <v>0</v>
      </c>
    </row>
    <row r="60" spans="1:37" x14ac:dyDescent="0.3">
      <c r="C60" s="64"/>
      <c r="D60" s="1" t="s">
        <v>40</v>
      </c>
      <c r="E60" s="62">
        <f>COUNTIF(E14:E37,"8")</f>
        <v>8</v>
      </c>
      <c r="F60" s="62">
        <f t="shared" ref="F60:Q60" si="9">COUNTIF(F14:F37,"8")</f>
        <v>8</v>
      </c>
      <c r="G60" s="62">
        <f t="shared" si="9"/>
        <v>7</v>
      </c>
      <c r="H60" s="62">
        <f t="shared" si="9"/>
        <v>8</v>
      </c>
      <c r="I60" s="62">
        <f t="shared" si="9"/>
        <v>0</v>
      </c>
      <c r="J60" s="62">
        <f t="shared" si="9"/>
        <v>8</v>
      </c>
      <c r="K60" s="62">
        <f t="shared" si="9"/>
        <v>6</v>
      </c>
      <c r="L60" s="62">
        <f t="shared" si="9"/>
        <v>9</v>
      </c>
      <c r="M60" s="62">
        <f t="shared" si="9"/>
        <v>7</v>
      </c>
      <c r="N60" s="62">
        <f t="shared" si="9"/>
        <v>7</v>
      </c>
      <c r="O60" s="62">
        <f t="shared" si="9"/>
        <v>10</v>
      </c>
      <c r="P60" s="62">
        <f t="shared" si="9"/>
        <v>0</v>
      </c>
      <c r="Q60" s="62">
        <f t="shared" si="9"/>
        <v>9</v>
      </c>
      <c r="R60" s="62">
        <f>COUNTIF(R14:R37,"8")</f>
        <v>8</v>
      </c>
      <c r="S60" s="62">
        <f>COUNTIF(S14:S37,"8")</f>
        <v>14</v>
      </c>
      <c r="T60" s="62">
        <f t="shared" ref="T60:AJ60" si="10">COUNTIF(T14:T37,"8")</f>
        <v>0</v>
      </c>
      <c r="U60" s="62">
        <f t="shared" si="10"/>
        <v>0</v>
      </c>
      <c r="V60" s="62">
        <f t="shared" si="10"/>
        <v>0</v>
      </c>
      <c r="W60" s="62">
        <f t="shared" si="10"/>
        <v>0</v>
      </c>
      <c r="X60" s="62">
        <f t="shared" si="10"/>
        <v>0</v>
      </c>
      <c r="Y60" s="62">
        <f t="shared" si="10"/>
        <v>0</v>
      </c>
      <c r="Z60" s="62">
        <f t="shared" si="10"/>
        <v>0</v>
      </c>
      <c r="AA60" s="62">
        <f t="shared" si="10"/>
        <v>0</v>
      </c>
      <c r="AB60" s="62">
        <f t="shared" si="10"/>
        <v>0</v>
      </c>
      <c r="AC60" s="62">
        <f t="shared" si="10"/>
        <v>0</v>
      </c>
      <c r="AD60" s="62">
        <f t="shared" si="10"/>
        <v>0</v>
      </c>
      <c r="AE60" s="62">
        <f t="shared" si="10"/>
        <v>0</v>
      </c>
      <c r="AF60" s="62">
        <f t="shared" si="10"/>
        <v>0</v>
      </c>
      <c r="AG60" s="62">
        <f t="shared" si="10"/>
        <v>0</v>
      </c>
      <c r="AH60" s="62">
        <f t="shared" si="10"/>
        <v>0</v>
      </c>
      <c r="AI60" s="62">
        <f t="shared" si="10"/>
        <v>7</v>
      </c>
      <c r="AJ60" s="62">
        <f t="shared" si="10"/>
        <v>0</v>
      </c>
    </row>
    <row r="61" spans="1:37" x14ac:dyDescent="0.3">
      <c r="C61" s="64"/>
      <c r="D61" s="1" t="s">
        <v>55</v>
      </c>
      <c r="E61" s="62">
        <f>COUNTIF(E38:E57,"8")</f>
        <v>0</v>
      </c>
      <c r="F61" s="62">
        <f t="shared" ref="F61:R61" si="11">COUNTIF(F38:F57,"8")</f>
        <v>0</v>
      </c>
      <c r="G61" s="62">
        <f t="shared" si="11"/>
        <v>0</v>
      </c>
      <c r="H61" s="62">
        <f t="shared" si="11"/>
        <v>0</v>
      </c>
      <c r="I61" s="62">
        <f t="shared" si="11"/>
        <v>0</v>
      </c>
      <c r="J61" s="62">
        <f t="shared" si="11"/>
        <v>6</v>
      </c>
      <c r="K61" s="62">
        <f t="shared" si="11"/>
        <v>5</v>
      </c>
      <c r="L61" s="62">
        <f t="shared" si="11"/>
        <v>10</v>
      </c>
      <c r="M61" s="62">
        <f t="shared" si="11"/>
        <v>10</v>
      </c>
      <c r="N61" s="62">
        <f t="shared" si="11"/>
        <v>8</v>
      </c>
      <c r="O61" s="62">
        <f t="shared" si="11"/>
        <v>8</v>
      </c>
      <c r="P61" s="62">
        <f t="shared" si="11"/>
        <v>0</v>
      </c>
      <c r="Q61" s="62">
        <f t="shared" si="11"/>
        <v>16</v>
      </c>
      <c r="R61" s="62">
        <f t="shared" si="11"/>
        <v>11</v>
      </c>
      <c r="S61" s="62">
        <f>COUNTIF(S38:S57,"8")</f>
        <v>12</v>
      </c>
      <c r="T61" s="62">
        <f t="shared" ref="T61:AJ61" si="12">COUNTIF(T38:T57,"8")</f>
        <v>0</v>
      </c>
      <c r="U61" s="62">
        <f t="shared" si="12"/>
        <v>0</v>
      </c>
      <c r="V61" s="62">
        <f t="shared" si="12"/>
        <v>0</v>
      </c>
      <c r="W61" s="62">
        <f t="shared" si="12"/>
        <v>0</v>
      </c>
      <c r="X61" s="62">
        <f t="shared" si="12"/>
        <v>0</v>
      </c>
      <c r="Y61" s="62">
        <f t="shared" si="12"/>
        <v>0</v>
      </c>
      <c r="Z61" s="62">
        <f t="shared" si="12"/>
        <v>0</v>
      </c>
      <c r="AA61" s="62">
        <f t="shared" si="12"/>
        <v>0</v>
      </c>
      <c r="AB61" s="62">
        <f t="shared" si="12"/>
        <v>0</v>
      </c>
      <c r="AC61" s="62">
        <f t="shared" si="12"/>
        <v>0</v>
      </c>
      <c r="AD61" s="62">
        <f t="shared" si="12"/>
        <v>0</v>
      </c>
      <c r="AE61" s="62">
        <f t="shared" si="12"/>
        <v>0</v>
      </c>
      <c r="AF61" s="62">
        <f t="shared" si="12"/>
        <v>0</v>
      </c>
      <c r="AG61" s="62">
        <f t="shared" si="12"/>
        <v>0</v>
      </c>
      <c r="AH61" s="62">
        <f t="shared" si="12"/>
        <v>0</v>
      </c>
      <c r="AI61" s="62">
        <f t="shared" si="12"/>
        <v>5</v>
      </c>
      <c r="AJ61" s="62">
        <f t="shared" si="12"/>
        <v>0</v>
      </c>
    </row>
    <row r="62" spans="1:37" x14ac:dyDescent="0.3">
      <c r="C62" s="64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7" x14ac:dyDescent="0.3">
      <c r="C63" s="64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7" x14ac:dyDescent="0.3">
      <c r="C64" s="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8" x14ac:dyDescent="0.3">
      <c r="C65" s="64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8" x14ac:dyDescent="0.3">
      <c r="C66" s="64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8" x14ac:dyDescent="0.3">
      <c r="C67" s="64"/>
      <c r="N67" s="2"/>
      <c r="O67" s="2"/>
      <c r="P67"/>
      <c r="Q67" s="2"/>
      <c r="R67" s="2"/>
      <c r="S67" s="2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8" x14ac:dyDescent="0.3">
      <c r="C68" s="64"/>
      <c r="D68" s="2" t="s">
        <v>75</v>
      </c>
      <c r="E68" s="48">
        <v>46174</v>
      </c>
      <c r="F68" s="48">
        <v>46175</v>
      </c>
      <c r="G68" s="48">
        <v>46176</v>
      </c>
      <c r="H68" s="48">
        <v>46177</v>
      </c>
      <c r="I68" s="49">
        <v>46178</v>
      </c>
      <c r="J68" s="48">
        <v>46179</v>
      </c>
      <c r="K68" s="48">
        <v>46180</v>
      </c>
      <c r="L68" s="48">
        <v>46181</v>
      </c>
      <c r="M68" s="48">
        <v>46182</v>
      </c>
      <c r="N68" s="48">
        <v>46183</v>
      </c>
      <c r="O68" s="48">
        <v>46184</v>
      </c>
      <c r="P68" s="48">
        <v>46185</v>
      </c>
      <c r="Q68" s="48">
        <v>46186</v>
      </c>
      <c r="R68" s="48">
        <v>46187</v>
      </c>
      <c r="S68" s="48">
        <v>46188</v>
      </c>
      <c r="T68" s="48">
        <v>46189</v>
      </c>
      <c r="U68" s="48">
        <v>46190</v>
      </c>
      <c r="V68" s="48">
        <v>46191</v>
      </c>
      <c r="W68" s="48">
        <v>46192</v>
      </c>
      <c r="X68" s="48">
        <v>46193</v>
      </c>
      <c r="Y68" s="48">
        <v>46194</v>
      </c>
      <c r="Z68" s="48">
        <v>46195</v>
      </c>
      <c r="AA68" s="48">
        <v>46196</v>
      </c>
      <c r="AB68" s="48">
        <v>46197</v>
      </c>
      <c r="AC68" s="48">
        <v>46198</v>
      </c>
      <c r="AD68" s="48">
        <v>46199</v>
      </c>
      <c r="AE68" s="48">
        <v>46200</v>
      </c>
      <c r="AF68" s="48">
        <v>46201</v>
      </c>
      <c r="AG68" s="48">
        <v>46202</v>
      </c>
      <c r="AH68" s="48">
        <v>46203</v>
      </c>
      <c r="AI68" s="47"/>
      <c r="AJ68" s="47"/>
      <c r="AK68" s="18"/>
      <c r="AL68" s="18"/>
    </row>
    <row r="69" spans="1:38" x14ac:dyDescent="0.3">
      <c r="C69" s="76">
        <v>65</v>
      </c>
      <c r="D69" s="1" t="s">
        <v>74</v>
      </c>
      <c r="E69" s="4">
        <v>9</v>
      </c>
      <c r="F69" s="4"/>
      <c r="G69" s="4"/>
      <c r="H69" s="4">
        <v>3</v>
      </c>
      <c r="I69" s="50"/>
      <c r="J69" s="4">
        <v>4</v>
      </c>
      <c r="K69" s="4">
        <v>5</v>
      </c>
      <c r="L69" s="4">
        <v>0</v>
      </c>
      <c r="M69" s="4">
        <v>4</v>
      </c>
      <c r="N69" s="1">
        <v>4</v>
      </c>
      <c r="O69" s="1">
        <v>3</v>
      </c>
      <c r="P69" s="50"/>
      <c r="Q69" s="1">
        <v>9</v>
      </c>
      <c r="R69" s="1">
        <v>8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8" x14ac:dyDescent="0.3">
      <c r="C70" s="76"/>
      <c r="D70" s="1" t="s">
        <v>40</v>
      </c>
      <c r="E70" s="4">
        <v>8</v>
      </c>
      <c r="F70" s="4"/>
      <c r="G70" s="4"/>
      <c r="H70" s="4">
        <v>4</v>
      </c>
      <c r="I70" s="50"/>
      <c r="J70" s="4">
        <v>4</v>
      </c>
      <c r="K70" s="4">
        <v>4</v>
      </c>
      <c r="L70" s="4">
        <v>0</v>
      </c>
      <c r="M70" s="4">
        <v>4</v>
      </c>
      <c r="N70" s="1">
        <v>3</v>
      </c>
      <c r="O70" s="1">
        <v>4</v>
      </c>
      <c r="P70" s="50"/>
      <c r="Q70" s="1">
        <v>9</v>
      </c>
      <c r="R70" s="1">
        <v>8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8" x14ac:dyDescent="0.3">
      <c r="C71" s="76"/>
      <c r="D71" s="1" t="s">
        <v>55</v>
      </c>
      <c r="E71" s="4"/>
      <c r="F71" s="4"/>
      <c r="G71" s="4"/>
      <c r="H71" s="4"/>
      <c r="I71" s="50"/>
      <c r="J71" s="4"/>
      <c r="K71" s="4"/>
      <c r="L71" s="4"/>
      <c r="M71" s="4"/>
      <c r="N71" s="1"/>
      <c r="O71" s="1"/>
      <c r="P71" s="5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8" s="18" customFormat="1" x14ac:dyDescent="0.3">
      <c r="A72"/>
      <c r="B72"/>
      <c r="C72" s="76">
        <v>66</v>
      </c>
      <c r="D72" s="1" t="s">
        <v>74</v>
      </c>
      <c r="E72" s="4"/>
      <c r="F72" s="4">
        <v>7</v>
      </c>
      <c r="G72" s="4">
        <v>8</v>
      </c>
      <c r="H72" s="4">
        <v>3</v>
      </c>
      <c r="I72" s="50"/>
      <c r="J72" s="4">
        <v>4</v>
      </c>
      <c r="K72" s="4">
        <v>3</v>
      </c>
      <c r="L72" s="4">
        <v>6</v>
      </c>
      <c r="M72" s="4">
        <v>2</v>
      </c>
      <c r="N72" s="1">
        <v>3</v>
      </c>
      <c r="O72" s="1">
        <v>4</v>
      </c>
      <c r="P72" s="50"/>
      <c r="Q72" s="1"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/>
    </row>
    <row r="73" spans="1:38" x14ac:dyDescent="0.3">
      <c r="C73" s="76"/>
      <c r="D73" s="1" t="s">
        <v>40</v>
      </c>
      <c r="E73" s="4"/>
      <c r="F73" s="4">
        <v>8</v>
      </c>
      <c r="G73" s="4">
        <v>7</v>
      </c>
      <c r="H73" s="4">
        <v>4</v>
      </c>
      <c r="I73" s="50"/>
      <c r="J73" s="4">
        <v>4</v>
      </c>
      <c r="K73" s="4">
        <v>2</v>
      </c>
      <c r="L73" s="4">
        <v>9</v>
      </c>
      <c r="M73" s="4">
        <v>3</v>
      </c>
      <c r="N73" s="4">
        <v>4</v>
      </c>
      <c r="O73" s="4">
        <v>6</v>
      </c>
      <c r="P73" s="50"/>
      <c r="Q73" s="4">
        <v>0</v>
      </c>
      <c r="R73" s="4"/>
      <c r="S73" s="62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1"/>
      <c r="AJ73" s="1"/>
      <c r="AK73" s="1"/>
    </row>
    <row r="74" spans="1:38" x14ac:dyDescent="0.3">
      <c r="C74" s="76"/>
      <c r="D74" s="1" t="s">
        <v>55</v>
      </c>
      <c r="E74" s="4"/>
      <c r="F74" s="4"/>
      <c r="G74" s="4"/>
      <c r="H74" s="4"/>
      <c r="I74" s="50"/>
      <c r="J74" s="4"/>
      <c r="K74" s="4"/>
      <c r="L74" s="4"/>
      <c r="M74" s="4"/>
      <c r="N74" s="4"/>
      <c r="O74" s="4"/>
      <c r="P74" s="50"/>
      <c r="Q74" s="4">
        <v>0</v>
      </c>
      <c r="R74" s="4"/>
      <c r="S74" s="62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1"/>
      <c r="AJ74" s="1"/>
      <c r="AK74" s="1"/>
    </row>
    <row r="75" spans="1:38" x14ac:dyDescent="0.3">
      <c r="E75" s="17">
        <f>SUM(E69:E74)</f>
        <v>17</v>
      </c>
      <c r="F75" s="17">
        <f t="shared" ref="F75:AH75" si="13">SUM(F69:F74)</f>
        <v>15</v>
      </c>
      <c r="G75" s="17">
        <f t="shared" si="13"/>
        <v>15</v>
      </c>
      <c r="H75" s="17">
        <f t="shared" si="13"/>
        <v>14</v>
      </c>
      <c r="I75" s="17">
        <f t="shared" si="13"/>
        <v>0</v>
      </c>
      <c r="J75" s="17">
        <f t="shared" si="13"/>
        <v>16</v>
      </c>
      <c r="K75" s="17">
        <f t="shared" si="13"/>
        <v>14</v>
      </c>
      <c r="L75" s="17">
        <f t="shared" si="13"/>
        <v>15</v>
      </c>
      <c r="M75" s="17">
        <f t="shared" si="13"/>
        <v>13</v>
      </c>
      <c r="N75" s="17">
        <f t="shared" si="13"/>
        <v>14</v>
      </c>
      <c r="O75" s="17">
        <f t="shared" si="13"/>
        <v>17</v>
      </c>
      <c r="P75" s="17">
        <f t="shared" si="13"/>
        <v>0</v>
      </c>
      <c r="Q75" s="17">
        <f t="shared" si="13"/>
        <v>18</v>
      </c>
      <c r="R75" s="17">
        <f t="shared" si="13"/>
        <v>16</v>
      </c>
      <c r="S75" s="11">
        <f t="shared" si="13"/>
        <v>0</v>
      </c>
      <c r="T75" s="17">
        <f t="shared" si="13"/>
        <v>0</v>
      </c>
      <c r="U75" s="17">
        <f t="shared" si="13"/>
        <v>0</v>
      </c>
      <c r="V75" s="17">
        <f t="shared" si="13"/>
        <v>0</v>
      </c>
      <c r="W75" s="17">
        <f t="shared" si="13"/>
        <v>0</v>
      </c>
      <c r="X75" s="17">
        <f t="shared" si="13"/>
        <v>0</v>
      </c>
      <c r="Y75" s="17">
        <f t="shared" si="13"/>
        <v>0</v>
      </c>
      <c r="Z75" s="17">
        <f t="shared" si="13"/>
        <v>0</v>
      </c>
      <c r="AA75" s="17">
        <f t="shared" si="13"/>
        <v>0</v>
      </c>
      <c r="AB75" s="17">
        <f t="shared" si="13"/>
        <v>0</v>
      </c>
      <c r="AC75" s="17">
        <f t="shared" si="13"/>
        <v>0</v>
      </c>
      <c r="AD75" s="17">
        <f t="shared" si="13"/>
        <v>0</v>
      </c>
      <c r="AE75" s="17">
        <f t="shared" si="13"/>
        <v>0</v>
      </c>
      <c r="AF75" s="17">
        <f t="shared" si="13"/>
        <v>0</v>
      </c>
      <c r="AG75" s="17">
        <f t="shared" si="13"/>
        <v>0</v>
      </c>
      <c r="AH75" s="17">
        <f t="shared" si="13"/>
        <v>0</v>
      </c>
    </row>
  </sheetData>
  <autoFilter ref="O1:O75" xr:uid="{9DF21DEE-F608-4843-8E71-E2CF579813D2}"/>
  <mergeCells count="11">
    <mergeCell ref="C69:C71"/>
    <mergeCell ref="C72:C74"/>
    <mergeCell ref="AJ2:AJ3"/>
    <mergeCell ref="AI2:AI3"/>
    <mergeCell ref="C59:C68"/>
    <mergeCell ref="E32:H37"/>
    <mergeCell ref="A1:C1"/>
    <mergeCell ref="A2:A3"/>
    <mergeCell ref="B2:B3"/>
    <mergeCell ref="C2:C3"/>
    <mergeCell ref="AK2:AK3"/>
  </mergeCells>
  <phoneticPr fontId="2" type="noConversion"/>
  <conditionalFormatting sqref="E4:F4 H4:L4 AH4 E5:N12 N13:N14 L38:L48 E16:N31 O5:R31 T5:AH57 E38:M43 E32 Q38:R57 N38:P48">
    <cfRule type="containsText" dxfId="3" priority="4" operator="containsText" text="A">
      <formula>NOT(ISERROR(SEARCH("A",E4)))</formula>
    </cfRule>
  </conditionalFormatting>
  <conditionalFormatting sqref="G4">
    <cfRule type="containsText" dxfId="2" priority="3" operator="containsText" text="A">
      <formula>NOT(ISERROR(SEARCH("A",G4)))</formula>
    </cfRule>
  </conditionalFormatting>
  <conditionalFormatting sqref="E4:AH4 E44 L44:M48 S5:S57">
    <cfRule type="containsText" dxfId="1" priority="2" operator="containsText" text="A">
      <formula>NOT(ISERROR(SEARCH("A",E4)))</formula>
    </cfRule>
  </conditionalFormatting>
  <conditionalFormatting sqref="B1:B31 B38:B1048576">
    <cfRule type="duplicateValues" dxfId="0" priority="1"/>
  </conditionalFormatting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Mithal Al Shamal -May26</vt:lpstr>
      <vt:lpstr>Mithal Al Shamal -June26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2026-05-31T10:22:24Z</cp:lastPrinted>
  <dcterms:created xsi:type="dcterms:W3CDTF">2026-05-13T08:49:26Z</dcterms:created>
  <dcterms:modified xsi:type="dcterms:W3CDTF">2026-06-15T04:47:26Z</dcterms:modified>
</cp:coreProperties>
</file>