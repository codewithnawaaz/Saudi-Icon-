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Roshan'\Closing\may\"/>
    </mc:Choice>
  </mc:AlternateContent>
  <xr:revisionPtr revIDLastSave="0" documentId="13_ncr:1_{FE977036-8A5D-4A14-A268-85D52F165366}" xr6:coauthVersionLast="47" xr6:coauthVersionMax="47" xr10:uidLastSave="{00000000-0000-0000-0000-000000000000}"/>
  <bookViews>
    <workbookView xWindow="-108" yWindow="-108" windowWidth="23256" windowHeight="13896" xr2:uid="{D44D232D-878C-40DD-948A-663E258CC4B8}"/>
  </bookViews>
  <sheets>
    <sheet name="Mithal Al Shamal -May26" sheetId="1" r:id="rId1"/>
  </sheets>
  <definedNames>
    <definedName name="_xlnm._FilterDatabase" localSheetId="0" hidden="1">'Mithal Al Shamal -May26'!$D$1:$D$21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G30" i="1"/>
  <c r="H30" i="1"/>
  <c r="I30" i="1"/>
  <c r="J30" i="1"/>
  <c r="K30" i="1"/>
  <c r="L30" i="1"/>
  <c r="M30" i="1"/>
  <c r="N30" i="1"/>
  <c r="O30" i="1"/>
  <c r="P30" i="1"/>
  <c r="Q30" i="1"/>
  <c r="E30" i="1"/>
  <c r="R4" i="1"/>
  <c r="S17" i="1"/>
  <c r="R20" i="1"/>
  <c r="R21" i="1"/>
  <c r="R22" i="1"/>
  <c r="R23" i="1"/>
  <c r="R24" i="1"/>
  <c r="R5" i="1"/>
  <c r="R10" i="1"/>
  <c r="S11" i="1"/>
  <c r="S12" i="1"/>
  <c r="S13" i="1"/>
  <c r="S15" i="1"/>
  <c r="S16" i="1"/>
  <c r="S18" i="1"/>
  <c r="S19" i="1"/>
  <c r="R25" i="1"/>
  <c r="S28" i="1"/>
  <c r="S7" i="1"/>
  <c r="S9" i="1"/>
  <c r="S14" i="1"/>
  <c r="R6" i="1"/>
  <c r="R8" i="1"/>
  <c r="R26" i="1"/>
  <c r="R27" i="1"/>
  <c r="S8" i="1"/>
  <c r="S27" i="1"/>
  <c r="S6" i="1"/>
  <c r="S26" i="1"/>
  <c r="R28" i="1" l="1"/>
  <c r="R19" i="1"/>
  <c r="S25" i="1"/>
  <c r="S5" i="1"/>
  <c r="R17" i="1"/>
  <c r="R16" i="1"/>
  <c r="S10" i="1"/>
  <c r="R18" i="1"/>
  <c r="R15" i="1"/>
  <c r="R13" i="1"/>
  <c r="R12" i="1"/>
  <c r="R11" i="1"/>
  <c r="S4" i="1"/>
  <c r="S22" i="1"/>
  <c r="R9" i="1"/>
  <c r="S20" i="1"/>
  <c r="S21" i="1"/>
  <c r="R14" i="1"/>
  <c r="R7" i="1"/>
  <c r="R29" i="1" s="1"/>
  <c r="S24" i="1"/>
  <c r="S23" i="1"/>
</calcChain>
</file>

<file path=xl/sharedStrings.xml><?xml version="1.0" encoding="utf-8"?>
<sst xmlns="http://schemas.openxmlformats.org/spreadsheetml/2006/main" count="138" uniqueCount="48">
  <si>
    <t>Name #</t>
  </si>
  <si>
    <t xml:space="preserve">Designation </t>
  </si>
  <si>
    <t>Iqama No.</t>
  </si>
  <si>
    <t>A</t>
  </si>
  <si>
    <t xml:space="preserve">Absent </t>
  </si>
  <si>
    <t>S.NO.</t>
  </si>
  <si>
    <t>SAT</t>
  </si>
  <si>
    <t>SUN</t>
  </si>
  <si>
    <t>MON</t>
  </si>
  <si>
    <t>TUE</t>
  </si>
  <si>
    <t>WED</t>
  </si>
  <si>
    <t>THU</t>
  </si>
  <si>
    <t>FRI</t>
  </si>
  <si>
    <t>Sedra Phase 1 B -Roshn Project</t>
  </si>
  <si>
    <t>MD KHAYRUL HOSSEN</t>
  </si>
  <si>
    <t>MD ISLAM UDDIN</t>
  </si>
  <si>
    <t>NUR MOHAMMAD</t>
  </si>
  <si>
    <t>MD FARID MIA MD</t>
  </si>
  <si>
    <t>MIZAN MIAH</t>
  </si>
  <si>
    <t xml:space="preserve">MD ABDUL AZIZ MD JUBIR </t>
  </si>
  <si>
    <t>MD NAYEM BABU</t>
  </si>
  <si>
    <t>MD PARBEG ALI</t>
  </si>
  <si>
    <t xml:space="preserve">ABDUL BAREK MOZIBUL </t>
  </si>
  <si>
    <t>ABU BOKOR BEPARI</t>
  </si>
  <si>
    <t>MD SAMIM ALL MAMUN</t>
  </si>
  <si>
    <t>MD MIZANUR RAHMAN</t>
  </si>
  <si>
    <t>ABU KALAM SHEKDAR</t>
  </si>
  <si>
    <t>MD HABIBUR RAHMAN</t>
  </si>
  <si>
    <t>GEANUR RAHMAN</t>
  </si>
  <si>
    <t>MD BILLAL HOSSEN</t>
  </si>
  <si>
    <t>AYUB ALI AMIR KHAN</t>
  </si>
  <si>
    <t>MD ABDULLAH</t>
  </si>
  <si>
    <t>MOMEN MIA</t>
  </si>
  <si>
    <t>MD OMOR FARUK</t>
  </si>
  <si>
    <t>MD JABED HOSSEN</t>
  </si>
  <si>
    <t>MEHAR ALI</t>
  </si>
  <si>
    <t>MD YOUSUF ALI</t>
  </si>
  <si>
    <t>MD TUHIN</t>
  </si>
  <si>
    <t>MD SAJJAD</t>
  </si>
  <si>
    <t>BLUCK MASON</t>
  </si>
  <si>
    <t>HELPER</t>
  </si>
  <si>
    <t>Rental Supplier -Mithal Supplier -May -26</t>
  </si>
  <si>
    <t xml:space="preserve">Total Hours </t>
  </si>
  <si>
    <t>EID HOLIDAYS</t>
  </si>
  <si>
    <t>Total</t>
  </si>
  <si>
    <t xml:space="preserve">Daily No. of Workers </t>
  </si>
  <si>
    <t>Prepared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</si>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</sst>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1"/>
    </font>
    <font>
      <sz val="11"/>
      <color rgb="FF000000"/>
      <name val="Calibri"/>
      <family val="1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textRotation="90"/>
    </xf>
    <xf numFmtId="164" fontId="1" fillId="2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9D19-BBE9-43B8-8223-250F950F1701}">
  <sheetPr>
    <pageSetUpPr fitToPage="1"/>
  </sheetPr>
  <dimension ref="A1:S36"/>
  <sheetViews>
    <sheetView tabSelected="1" topLeftCell="A7" workbookViewId="0">
      <selection activeCell="V30" sqref="V30"/>
    </sheetView>
  </sheetViews>
  <sheetFormatPr defaultRowHeight="14.4" x14ac:dyDescent="0.3"/>
  <cols>
    <col min="2" max="2" width="12.33203125" customWidth="1"/>
    <col min="3" max="3" width="28.88671875" customWidth="1"/>
    <col min="4" max="4" width="21.109375" customWidth="1"/>
    <col min="5" max="5" width="5.21875" style="3" customWidth="1"/>
    <col min="6" max="6" width="4.6640625" style="3" customWidth="1"/>
    <col min="7" max="7" width="4.5546875" style="3" customWidth="1"/>
    <col min="8" max="8" width="4.33203125" style="9" customWidth="1"/>
    <col min="9" max="9" width="4.109375" style="3" customWidth="1"/>
    <col min="10" max="10" width="5.44140625" style="3" customWidth="1"/>
    <col min="11" max="11" width="4.6640625" style="3" customWidth="1"/>
    <col min="12" max="17" width="6.109375" style="3" customWidth="1"/>
    <col min="18" max="18" width="8.88671875" customWidth="1"/>
    <col min="19" max="19" width="8.109375" customWidth="1"/>
  </cols>
  <sheetData>
    <row r="1" spans="1:19" ht="24.75" customHeight="1" x14ac:dyDescent="0.3">
      <c r="A1" s="24" t="s">
        <v>41</v>
      </c>
      <c r="B1" s="24"/>
      <c r="C1" s="24"/>
      <c r="D1" s="25" t="s">
        <v>13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2" customFormat="1" ht="45" customHeight="1" x14ac:dyDescent="0.3">
      <c r="A2" s="22" t="s">
        <v>5</v>
      </c>
      <c r="B2" s="22" t="s">
        <v>2</v>
      </c>
      <c r="C2" s="22" t="s">
        <v>0</v>
      </c>
      <c r="D2" s="22" t="s">
        <v>1</v>
      </c>
      <c r="E2" s="7">
        <v>46161</v>
      </c>
      <c r="F2" s="7">
        <v>46162</v>
      </c>
      <c r="G2" s="7">
        <v>46163</v>
      </c>
      <c r="H2" s="7">
        <v>46164</v>
      </c>
      <c r="I2" s="7">
        <v>46165</v>
      </c>
      <c r="J2" s="7">
        <v>46166</v>
      </c>
      <c r="K2" s="7">
        <v>46167</v>
      </c>
      <c r="L2" s="7">
        <v>46168</v>
      </c>
      <c r="M2" s="7">
        <v>46169</v>
      </c>
      <c r="N2" s="7">
        <v>46170</v>
      </c>
      <c r="O2" s="7">
        <v>46171</v>
      </c>
      <c r="P2" s="7">
        <v>46172</v>
      </c>
      <c r="Q2" s="7">
        <v>46173</v>
      </c>
      <c r="R2" s="31" t="s">
        <v>42</v>
      </c>
      <c r="S2" s="32" t="s">
        <v>4</v>
      </c>
    </row>
    <row r="3" spans="1:19" s="2" customFormat="1" ht="33.6" customHeight="1" x14ac:dyDescent="0.3">
      <c r="A3" s="22"/>
      <c r="B3" s="22"/>
      <c r="C3" s="22"/>
      <c r="D3" s="22"/>
      <c r="E3" s="8" t="s">
        <v>9</v>
      </c>
      <c r="F3" s="8" t="s">
        <v>10</v>
      </c>
      <c r="G3" s="8" t="s">
        <v>11</v>
      </c>
      <c r="H3" s="10" t="s">
        <v>12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6</v>
      </c>
      <c r="Q3" s="8" t="s">
        <v>7</v>
      </c>
      <c r="R3" s="31"/>
      <c r="S3" s="32"/>
    </row>
    <row r="4" spans="1:19" x14ac:dyDescent="0.3">
      <c r="A4" s="1">
        <v>1</v>
      </c>
      <c r="B4" s="4">
        <v>2501956060</v>
      </c>
      <c r="C4" s="12" t="s">
        <v>14</v>
      </c>
      <c r="D4" s="4" t="s">
        <v>39</v>
      </c>
      <c r="E4" s="4">
        <v>8</v>
      </c>
      <c r="F4" s="4">
        <v>8</v>
      </c>
      <c r="G4" s="4">
        <v>8</v>
      </c>
      <c r="H4" s="6"/>
      <c r="I4" s="4">
        <v>8</v>
      </c>
      <c r="J4" s="4" t="s">
        <v>3</v>
      </c>
      <c r="K4" s="4">
        <v>8</v>
      </c>
      <c r="L4" s="29" t="s">
        <v>43</v>
      </c>
      <c r="M4" s="29"/>
      <c r="N4" s="29"/>
      <c r="O4" s="29"/>
      <c r="P4" s="29"/>
      <c r="Q4" s="5">
        <v>8</v>
      </c>
      <c r="R4" s="1">
        <f>SUM(E4:Q4)</f>
        <v>48</v>
      </c>
      <c r="S4" s="1">
        <f t="shared" ref="S4:S28" si="0">COUNTIF(E4:Q4,"A")</f>
        <v>1</v>
      </c>
    </row>
    <row r="5" spans="1:19" x14ac:dyDescent="0.3">
      <c r="A5" s="1">
        <v>2</v>
      </c>
      <c r="B5" s="4">
        <v>2510758804</v>
      </c>
      <c r="C5" s="12" t="s">
        <v>15</v>
      </c>
      <c r="D5" s="4" t="s">
        <v>39</v>
      </c>
      <c r="E5" s="4">
        <v>8</v>
      </c>
      <c r="F5" s="4">
        <v>8</v>
      </c>
      <c r="G5" s="4">
        <v>8</v>
      </c>
      <c r="H5" s="6"/>
      <c r="I5" s="4" t="s">
        <v>3</v>
      </c>
      <c r="J5" s="4" t="s">
        <v>3</v>
      </c>
      <c r="K5" s="4" t="s">
        <v>3</v>
      </c>
      <c r="L5" s="29"/>
      <c r="M5" s="29"/>
      <c r="N5" s="29"/>
      <c r="O5" s="29"/>
      <c r="P5" s="29"/>
      <c r="Q5" s="5">
        <v>8</v>
      </c>
      <c r="R5" s="1">
        <f t="shared" ref="R5:R28" si="1">SUM(E5:Q5)</f>
        <v>32</v>
      </c>
      <c r="S5" s="1">
        <f t="shared" si="0"/>
        <v>3</v>
      </c>
    </row>
    <row r="6" spans="1:19" x14ac:dyDescent="0.3">
      <c r="A6" s="1">
        <v>3</v>
      </c>
      <c r="B6" s="4">
        <v>2514944343</v>
      </c>
      <c r="C6" s="12" t="s">
        <v>16</v>
      </c>
      <c r="D6" s="4" t="s">
        <v>39</v>
      </c>
      <c r="E6" s="4">
        <v>8</v>
      </c>
      <c r="F6" s="4">
        <v>8</v>
      </c>
      <c r="G6" s="4">
        <v>8</v>
      </c>
      <c r="H6" s="6"/>
      <c r="I6" s="4" t="s">
        <v>3</v>
      </c>
      <c r="J6" s="4" t="s">
        <v>3</v>
      </c>
      <c r="K6" s="4">
        <v>8</v>
      </c>
      <c r="L6" s="29"/>
      <c r="M6" s="29"/>
      <c r="N6" s="29"/>
      <c r="O6" s="29"/>
      <c r="P6" s="29"/>
      <c r="Q6" s="5" t="s">
        <v>3</v>
      </c>
      <c r="R6" s="1">
        <f t="shared" si="1"/>
        <v>32</v>
      </c>
      <c r="S6" s="1">
        <f t="shared" si="0"/>
        <v>3</v>
      </c>
    </row>
    <row r="7" spans="1:19" x14ac:dyDescent="0.3">
      <c r="A7" s="1">
        <v>4</v>
      </c>
      <c r="B7" s="4">
        <v>2495718237</v>
      </c>
      <c r="C7" s="12" t="s">
        <v>17</v>
      </c>
      <c r="D7" s="4" t="s">
        <v>39</v>
      </c>
      <c r="E7" s="4">
        <v>8</v>
      </c>
      <c r="F7" s="4">
        <v>8</v>
      </c>
      <c r="G7" s="4">
        <v>8</v>
      </c>
      <c r="H7" s="6"/>
      <c r="I7" s="4">
        <v>8</v>
      </c>
      <c r="J7" s="4">
        <v>8</v>
      </c>
      <c r="K7" s="4">
        <v>8</v>
      </c>
      <c r="L7" s="29"/>
      <c r="M7" s="29"/>
      <c r="N7" s="29"/>
      <c r="O7" s="29"/>
      <c r="P7" s="29"/>
      <c r="Q7" s="5">
        <v>8</v>
      </c>
      <c r="R7" s="1">
        <f t="shared" si="1"/>
        <v>56</v>
      </c>
      <c r="S7" s="1">
        <f t="shared" si="0"/>
        <v>0</v>
      </c>
    </row>
    <row r="8" spans="1:19" x14ac:dyDescent="0.3">
      <c r="A8" s="1">
        <v>5</v>
      </c>
      <c r="B8" s="4">
        <v>2141991113</v>
      </c>
      <c r="C8" s="12" t="s">
        <v>18</v>
      </c>
      <c r="D8" s="4" t="s">
        <v>39</v>
      </c>
      <c r="E8" s="4">
        <v>8</v>
      </c>
      <c r="F8" s="4">
        <v>8</v>
      </c>
      <c r="G8" s="4">
        <v>8</v>
      </c>
      <c r="H8" s="6"/>
      <c r="I8" s="4">
        <v>8</v>
      </c>
      <c r="J8" s="4">
        <v>8</v>
      </c>
      <c r="K8" s="4">
        <v>8</v>
      </c>
      <c r="L8" s="29"/>
      <c r="M8" s="29"/>
      <c r="N8" s="29"/>
      <c r="O8" s="29"/>
      <c r="P8" s="29"/>
      <c r="Q8" s="5">
        <v>8</v>
      </c>
      <c r="R8" s="1">
        <f t="shared" si="1"/>
        <v>56</v>
      </c>
      <c r="S8" s="1">
        <f t="shared" si="0"/>
        <v>0</v>
      </c>
    </row>
    <row r="9" spans="1:19" x14ac:dyDescent="0.3">
      <c r="A9" s="1">
        <v>6</v>
      </c>
      <c r="B9" s="4">
        <v>2451371724</v>
      </c>
      <c r="C9" s="12" t="s">
        <v>19</v>
      </c>
      <c r="D9" s="4" t="s">
        <v>39</v>
      </c>
      <c r="E9" s="4">
        <v>8</v>
      </c>
      <c r="F9" s="4">
        <v>8</v>
      </c>
      <c r="G9" s="4">
        <v>8</v>
      </c>
      <c r="H9" s="6"/>
      <c r="I9" s="4">
        <v>8</v>
      </c>
      <c r="J9" s="4">
        <v>8</v>
      </c>
      <c r="K9" s="4">
        <v>8</v>
      </c>
      <c r="L9" s="29"/>
      <c r="M9" s="29"/>
      <c r="N9" s="29"/>
      <c r="O9" s="29"/>
      <c r="P9" s="29"/>
      <c r="Q9" s="5">
        <v>8</v>
      </c>
      <c r="R9" s="1">
        <f t="shared" si="1"/>
        <v>56</v>
      </c>
      <c r="S9" s="1">
        <f t="shared" si="0"/>
        <v>0</v>
      </c>
    </row>
    <row r="10" spans="1:19" x14ac:dyDescent="0.3">
      <c r="A10" s="1">
        <v>7</v>
      </c>
      <c r="B10" s="4">
        <v>2615598923</v>
      </c>
      <c r="C10" s="12" t="s">
        <v>20</v>
      </c>
      <c r="D10" s="4" t="s">
        <v>39</v>
      </c>
      <c r="E10" s="4">
        <v>8</v>
      </c>
      <c r="F10" s="4">
        <v>8</v>
      </c>
      <c r="G10" s="4">
        <v>8</v>
      </c>
      <c r="H10" s="6"/>
      <c r="I10" s="4">
        <v>8</v>
      </c>
      <c r="J10" s="4">
        <v>8</v>
      </c>
      <c r="K10" s="4">
        <v>8</v>
      </c>
      <c r="L10" s="29"/>
      <c r="M10" s="29"/>
      <c r="N10" s="29"/>
      <c r="O10" s="29"/>
      <c r="P10" s="29"/>
      <c r="Q10" s="5">
        <v>8</v>
      </c>
      <c r="R10" s="1">
        <f t="shared" si="1"/>
        <v>56</v>
      </c>
      <c r="S10" s="1">
        <f t="shared" si="0"/>
        <v>0</v>
      </c>
    </row>
    <row r="11" spans="1:19" x14ac:dyDescent="0.3">
      <c r="A11" s="1">
        <v>8</v>
      </c>
      <c r="B11" s="4">
        <v>2485985291</v>
      </c>
      <c r="C11" s="12" t="s">
        <v>21</v>
      </c>
      <c r="D11" s="4" t="s">
        <v>39</v>
      </c>
      <c r="E11" s="4">
        <v>8</v>
      </c>
      <c r="F11" s="4">
        <v>8</v>
      </c>
      <c r="G11" s="4">
        <v>8</v>
      </c>
      <c r="H11" s="6"/>
      <c r="I11" s="4" t="s">
        <v>3</v>
      </c>
      <c r="J11" s="4">
        <v>8</v>
      </c>
      <c r="K11" s="4">
        <v>8</v>
      </c>
      <c r="L11" s="29"/>
      <c r="M11" s="29"/>
      <c r="N11" s="29"/>
      <c r="O11" s="29"/>
      <c r="P11" s="29"/>
      <c r="Q11" s="5">
        <v>8</v>
      </c>
      <c r="R11" s="1">
        <f t="shared" si="1"/>
        <v>48</v>
      </c>
      <c r="S11" s="1">
        <f t="shared" si="0"/>
        <v>1</v>
      </c>
    </row>
    <row r="12" spans="1:19" x14ac:dyDescent="0.3">
      <c r="A12" s="1">
        <v>9</v>
      </c>
      <c r="B12" s="4">
        <v>2501284539</v>
      </c>
      <c r="C12" s="12" t="s">
        <v>29</v>
      </c>
      <c r="D12" s="4" t="s">
        <v>39</v>
      </c>
      <c r="E12" s="4" t="s">
        <v>3</v>
      </c>
      <c r="F12" s="4">
        <v>8</v>
      </c>
      <c r="G12" s="4">
        <v>8</v>
      </c>
      <c r="H12" s="6"/>
      <c r="I12" s="4">
        <v>8</v>
      </c>
      <c r="J12" s="4">
        <v>8</v>
      </c>
      <c r="K12" s="4" t="s">
        <v>3</v>
      </c>
      <c r="L12" s="29"/>
      <c r="M12" s="29"/>
      <c r="N12" s="29"/>
      <c r="O12" s="29"/>
      <c r="P12" s="29"/>
      <c r="Q12" s="5">
        <v>8</v>
      </c>
      <c r="R12" s="1">
        <f t="shared" si="1"/>
        <v>40</v>
      </c>
      <c r="S12" s="1">
        <f t="shared" si="0"/>
        <v>2</v>
      </c>
    </row>
    <row r="13" spans="1:19" x14ac:dyDescent="0.3">
      <c r="A13" s="1">
        <v>10</v>
      </c>
      <c r="B13" s="4">
        <v>2196990226</v>
      </c>
      <c r="C13" s="12" t="s">
        <v>30</v>
      </c>
      <c r="D13" s="4" t="s">
        <v>39</v>
      </c>
      <c r="E13" s="4" t="s">
        <v>3</v>
      </c>
      <c r="F13" s="4">
        <v>8</v>
      </c>
      <c r="G13" s="4">
        <v>8</v>
      </c>
      <c r="H13" s="6"/>
      <c r="I13" s="4">
        <v>8</v>
      </c>
      <c r="J13" s="4">
        <v>8</v>
      </c>
      <c r="K13" s="4">
        <v>8</v>
      </c>
      <c r="L13" s="29"/>
      <c r="M13" s="29"/>
      <c r="N13" s="29"/>
      <c r="O13" s="29"/>
      <c r="P13" s="29"/>
      <c r="Q13" s="5">
        <v>8</v>
      </c>
      <c r="R13" s="1">
        <f t="shared" si="1"/>
        <v>48</v>
      </c>
      <c r="S13" s="1">
        <f t="shared" si="0"/>
        <v>1</v>
      </c>
    </row>
    <row r="14" spans="1:19" x14ac:dyDescent="0.3">
      <c r="A14" s="1">
        <v>11</v>
      </c>
      <c r="B14" s="4">
        <v>2521159364</v>
      </c>
      <c r="C14" s="12" t="s">
        <v>31</v>
      </c>
      <c r="D14" s="4" t="s">
        <v>39</v>
      </c>
      <c r="E14" s="4" t="s">
        <v>3</v>
      </c>
      <c r="F14" s="4">
        <v>8</v>
      </c>
      <c r="G14" s="4">
        <v>8</v>
      </c>
      <c r="H14" s="6"/>
      <c r="I14" s="4">
        <v>8</v>
      </c>
      <c r="J14" s="4">
        <v>8</v>
      </c>
      <c r="K14" s="4">
        <v>8</v>
      </c>
      <c r="L14" s="29"/>
      <c r="M14" s="29"/>
      <c r="N14" s="29"/>
      <c r="O14" s="29"/>
      <c r="P14" s="29"/>
      <c r="Q14" s="5">
        <v>8</v>
      </c>
      <c r="R14" s="1">
        <f t="shared" si="1"/>
        <v>48</v>
      </c>
      <c r="S14" s="1">
        <f t="shared" si="0"/>
        <v>1</v>
      </c>
    </row>
    <row r="15" spans="1:19" x14ac:dyDescent="0.3">
      <c r="A15" s="1">
        <v>12</v>
      </c>
      <c r="B15" s="4">
        <v>2617117862</v>
      </c>
      <c r="C15" s="12" t="s">
        <v>32</v>
      </c>
      <c r="D15" s="4" t="s">
        <v>40</v>
      </c>
      <c r="E15" s="4" t="s">
        <v>3</v>
      </c>
      <c r="F15" s="4">
        <v>8</v>
      </c>
      <c r="G15" s="4" t="s">
        <v>3</v>
      </c>
      <c r="H15" s="6"/>
      <c r="I15" s="4" t="s">
        <v>3</v>
      </c>
      <c r="J15" s="4" t="s">
        <v>3</v>
      </c>
      <c r="K15" s="4" t="s">
        <v>3</v>
      </c>
      <c r="L15" s="29"/>
      <c r="M15" s="29"/>
      <c r="N15" s="29"/>
      <c r="O15" s="29"/>
      <c r="P15" s="29"/>
      <c r="Q15" s="5" t="s">
        <v>3</v>
      </c>
      <c r="R15" s="1">
        <f t="shared" si="1"/>
        <v>8</v>
      </c>
      <c r="S15" s="1">
        <f t="shared" si="0"/>
        <v>6</v>
      </c>
    </row>
    <row r="16" spans="1:19" x14ac:dyDescent="0.3">
      <c r="A16" s="1">
        <v>13</v>
      </c>
      <c r="B16" s="4">
        <v>2621180641</v>
      </c>
      <c r="C16" s="12" t="s">
        <v>33</v>
      </c>
      <c r="D16" s="4" t="s">
        <v>40</v>
      </c>
      <c r="E16" s="4" t="s">
        <v>3</v>
      </c>
      <c r="F16" s="4">
        <v>8</v>
      </c>
      <c r="G16" s="4" t="s">
        <v>3</v>
      </c>
      <c r="H16" s="6"/>
      <c r="I16" s="4" t="s">
        <v>3</v>
      </c>
      <c r="J16" s="4" t="s">
        <v>3</v>
      </c>
      <c r="K16" s="4" t="s">
        <v>3</v>
      </c>
      <c r="L16" s="29"/>
      <c r="M16" s="29"/>
      <c r="N16" s="29"/>
      <c r="O16" s="29"/>
      <c r="P16" s="29"/>
      <c r="Q16" s="5" t="s">
        <v>3</v>
      </c>
      <c r="R16" s="1">
        <f t="shared" si="1"/>
        <v>8</v>
      </c>
      <c r="S16" s="1">
        <f t="shared" si="0"/>
        <v>6</v>
      </c>
    </row>
    <row r="17" spans="1:19" x14ac:dyDescent="0.3">
      <c r="A17" s="1">
        <v>14</v>
      </c>
      <c r="B17" s="4">
        <v>2622037592</v>
      </c>
      <c r="C17" s="12" t="s">
        <v>34</v>
      </c>
      <c r="D17" s="4" t="s">
        <v>40</v>
      </c>
      <c r="E17" s="4" t="s">
        <v>3</v>
      </c>
      <c r="F17" s="4">
        <v>8</v>
      </c>
      <c r="G17" s="4" t="s">
        <v>3</v>
      </c>
      <c r="H17" s="6"/>
      <c r="I17" s="4" t="s">
        <v>3</v>
      </c>
      <c r="J17" s="4" t="s">
        <v>3</v>
      </c>
      <c r="K17" s="4" t="s">
        <v>3</v>
      </c>
      <c r="L17" s="29"/>
      <c r="M17" s="29"/>
      <c r="N17" s="29"/>
      <c r="O17" s="29"/>
      <c r="P17" s="29"/>
      <c r="Q17" s="5" t="s">
        <v>3</v>
      </c>
      <c r="R17" s="1">
        <f t="shared" si="1"/>
        <v>8</v>
      </c>
      <c r="S17" s="1">
        <f t="shared" si="0"/>
        <v>6</v>
      </c>
    </row>
    <row r="18" spans="1:19" x14ac:dyDescent="0.3">
      <c r="A18" s="1">
        <v>15</v>
      </c>
      <c r="B18" s="4">
        <v>2566448730</v>
      </c>
      <c r="C18" s="12" t="s">
        <v>35</v>
      </c>
      <c r="D18" s="4" t="s">
        <v>40</v>
      </c>
      <c r="E18" s="4" t="s">
        <v>3</v>
      </c>
      <c r="F18" s="4">
        <v>8</v>
      </c>
      <c r="G18" s="4">
        <v>8</v>
      </c>
      <c r="H18" s="6"/>
      <c r="I18" s="4">
        <v>8</v>
      </c>
      <c r="J18" s="4">
        <v>8</v>
      </c>
      <c r="K18" s="4" t="s">
        <v>3</v>
      </c>
      <c r="L18" s="29"/>
      <c r="M18" s="29"/>
      <c r="N18" s="29"/>
      <c r="O18" s="29"/>
      <c r="P18" s="29"/>
      <c r="Q18" s="5">
        <v>8</v>
      </c>
      <c r="R18" s="1">
        <f t="shared" si="1"/>
        <v>40</v>
      </c>
      <c r="S18" s="1">
        <f t="shared" si="0"/>
        <v>2</v>
      </c>
    </row>
    <row r="19" spans="1:19" x14ac:dyDescent="0.3">
      <c r="A19" s="1">
        <v>16</v>
      </c>
      <c r="B19" s="4">
        <v>2631068984</v>
      </c>
      <c r="C19" s="12" t="s">
        <v>36</v>
      </c>
      <c r="D19" s="4" t="s">
        <v>40</v>
      </c>
      <c r="E19" s="4" t="s">
        <v>3</v>
      </c>
      <c r="F19" s="4">
        <v>8</v>
      </c>
      <c r="G19" s="4" t="s">
        <v>3</v>
      </c>
      <c r="H19" s="6"/>
      <c r="I19" s="4" t="s">
        <v>3</v>
      </c>
      <c r="J19" s="4" t="s">
        <v>3</v>
      </c>
      <c r="K19" s="4" t="s">
        <v>3</v>
      </c>
      <c r="L19" s="29"/>
      <c r="M19" s="29"/>
      <c r="N19" s="29"/>
      <c r="O19" s="29"/>
      <c r="P19" s="29"/>
      <c r="Q19" s="5" t="s">
        <v>3</v>
      </c>
      <c r="R19" s="1">
        <f t="shared" si="1"/>
        <v>8</v>
      </c>
      <c r="S19" s="1">
        <f t="shared" si="0"/>
        <v>6</v>
      </c>
    </row>
    <row r="20" spans="1:19" x14ac:dyDescent="0.3">
      <c r="A20" s="1">
        <v>17</v>
      </c>
      <c r="B20" s="13">
        <v>2600263261</v>
      </c>
      <c r="C20" s="14" t="s">
        <v>37</v>
      </c>
      <c r="D20" s="4" t="s">
        <v>40</v>
      </c>
      <c r="E20" s="4" t="s">
        <v>3</v>
      </c>
      <c r="F20" s="4" t="s">
        <v>3</v>
      </c>
      <c r="G20" s="4">
        <v>8</v>
      </c>
      <c r="H20" s="6"/>
      <c r="I20" s="4" t="s">
        <v>3</v>
      </c>
      <c r="J20" s="4" t="s">
        <v>3</v>
      </c>
      <c r="K20" s="4" t="s">
        <v>3</v>
      </c>
      <c r="L20" s="29"/>
      <c r="M20" s="29"/>
      <c r="N20" s="29"/>
      <c r="O20" s="29"/>
      <c r="P20" s="29"/>
      <c r="Q20" s="5" t="s">
        <v>3</v>
      </c>
      <c r="R20" s="1">
        <f t="shared" si="1"/>
        <v>8</v>
      </c>
      <c r="S20" s="1">
        <f t="shared" si="0"/>
        <v>6</v>
      </c>
    </row>
    <row r="21" spans="1:19" x14ac:dyDescent="0.3">
      <c r="A21" s="1">
        <v>18</v>
      </c>
      <c r="B21" s="15">
        <v>2633459587</v>
      </c>
      <c r="C21" s="16" t="s">
        <v>38</v>
      </c>
      <c r="D21" s="4" t="s">
        <v>40</v>
      </c>
      <c r="E21" s="4" t="s">
        <v>3</v>
      </c>
      <c r="F21" s="4" t="s">
        <v>3</v>
      </c>
      <c r="G21" s="4">
        <v>8</v>
      </c>
      <c r="H21" s="6"/>
      <c r="I21" s="4">
        <v>8</v>
      </c>
      <c r="J21" s="4">
        <v>8</v>
      </c>
      <c r="K21" s="4">
        <v>8</v>
      </c>
      <c r="L21" s="29"/>
      <c r="M21" s="29"/>
      <c r="N21" s="29"/>
      <c r="O21" s="29"/>
      <c r="P21" s="29"/>
      <c r="Q21" s="5" t="s">
        <v>3</v>
      </c>
      <c r="R21" s="1">
        <f t="shared" si="1"/>
        <v>32</v>
      </c>
      <c r="S21" s="1">
        <f t="shared" si="0"/>
        <v>3</v>
      </c>
    </row>
    <row r="22" spans="1:19" x14ac:dyDescent="0.3">
      <c r="A22" s="1">
        <v>19</v>
      </c>
      <c r="B22" s="4">
        <v>2230258051</v>
      </c>
      <c r="C22" s="12" t="s">
        <v>22</v>
      </c>
      <c r="D22" s="4" t="s">
        <v>40</v>
      </c>
      <c r="E22" s="4">
        <v>8</v>
      </c>
      <c r="F22" s="4">
        <v>8</v>
      </c>
      <c r="G22" s="4" t="s">
        <v>3</v>
      </c>
      <c r="H22" s="6"/>
      <c r="I22" s="4">
        <v>8</v>
      </c>
      <c r="J22" s="4">
        <v>8</v>
      </c>
      <c r="K22" s="4">
        <v>8</v>
      </c>
      <c r="L22" s="29"/>
      <c r="M22" s="29"/>
      <c r="N22" s="29"/>
      <c r="O22" s="29"/>
      <c r="P22" s="29"/>
      <c r="Q22" s="5" t="s">
        <v>3</v>
      </c>
      <c r="R22" s="1">
        <f t="shared" si="1"/>
        <v>40</v>
      </c>
      <c r="S22" s="1">
        <f t="shared" si="0"/>
        <v>2</v>
      </c>
    </row>
    <row r="23" spans="1:19" ht="12.6" customHeight="1" x14ac:dyDescent="0.3">
      <c r="A23" s="1">
        <v>20</v>
      </c>
      <c r="B23" s="4">
        <v>2606452767</v>
      </c>
      <c r="C23" s="12" t="s">
        <v>23</v>
      </c>
      <c r="D23" s="4" t="s">
        <v>40</v>
      </c>
      <c r="E23" s="4">
        <v>8</v>
      </c>
      <c r="F23" s="4">
        <v>8</v>
      </c>
      <c r="G23" s="4">
        <v>8</v>
      </c>
      <c r="H23" s="6"/>
      <c r="I23" s="4">
        <v>8</v>
      </c>
      <c r="J23" s="4">
        <v>8</v>
      </c>
      <c r="K23" s="4">
        <v>8</v>
      </c>
      <c r="L23" s="29"/>
      <c r="M23" s="29"/>
      <c r="N23" s="29"/>
      <c r="O23" s="29"/>
      <c r="P23" s="29"/>
      <c r="Q23" s="5" t="s">
        <v>3</v>
      </c>
      <c r="R23" s="1">
        <f t="shared" si="1"/>
        <v>48</v>
      </c>
      <c r="S23" s="1">
        <f t="shared" si="0"/>
        <v>1</v>
      </c>
    </row>
    <row r="24" spans="1:19" x14ac:dyDescent="0.3">
      <c r="A24" s="1">
        <v>21</v>
      </c>
      <c r="B24" s="4">
        <v>2625990508</v>
      </c>
      <c r="C24" s="12" t="s">
        <v>24</v>
      </c>
      <c r="D24" s="4" t="s">
        <v>40</v>
      </c>
      <c r="E24" s="4">
        <v>8</v>
      </c>
      <c r="F24" s="4">
        <v>8</v>
      </c>
      <c r="G24" s="4">
        <v>8</v>
      </c>
      <c r="H24" s="6"/>
      <c r="I24" s="4">
        <v>8</v>
      </c>
      <c r="J24" s="4">
        <v>8</v>
      </c>
      <c r="K24" s="4">
        <v>8</v>
      </c>
      <c r="L24" s="29"/>
      <c r="M24" s="29"/>
      <c r="N24" s="29"/>
      <c r="O24" s="29"/>
      <c r="P24" s="29"/>
      <c r="Q24" s="5">
        <v>8</v>
      </c>
      <c r="R24" s="1">
        <f t="shared" si="1"/>
        <v>56</v>
      </c>
      <c r="S24" s="1">
        <f t="shared" si="0"/>
        <v>0</v>
      </c>
    </row>
    <row r="25" spans="1:19" x14ac:dyDescent="0.3">
      <c r="A25" s="1">
        <v>22</v>
      </c>
      <c r="B25" s="4">
        <v>2434461113</v>
      </c>
      <c r="C25" s="12" t="s">
        <v>25</v>
      </c>
      <c r="D25" s="4" t="s">
        <v>40</v>
      </c>
      <c r="E25" s="4">
        <v>8</v>
      </c>
      <c r="F25" s="4" t="s">
        <v>3</v>
      </c>
      <c r="G25" s="4" t="s">
        <v>3</v>
      </c>
      <c r="H25" s="6"/>
      <c r="I25" s="4" t="s">
        <v>3</v>
      </c>
      <c r="J25" s="4" t="s">
        <v>3</v>
      </c>
      <c r="K25" s="4" t="s">
        <v>3</v>
      </c>
      <c r="L25" s="29"/>
      <c r="M25" s="29"/>
      <c r="N25" s="29"/>
      <c r="O25" s="29"/>
      <c r="P25" s="29"/>
      <c r="Q25" s="5" t="s">
        <v>3</v>
      </c>
      <c r="R25" s="1">
        <f t="shared" si="1"/>
        <v>8</v>
      </c>
      <c r="S25" s="1">
        <f t="shared" si="0"/>
        <v>6</v>
      </c>
    </row>
    <row r="26" spans="1:19" x14ac:dyDescent="0.3">
      <c r="A26" s="1">
        <v>23</v>
      </c>
      <c r="B26" s="4">
        <v>2507516116</v>
      </c>
      <c r="C26" s="12" t="s">
        <v>26</v>
      </c>
      <c r="D26" s="4" t="s">
        <v>40</v>
      </c>
      <c r="E26" s="4">
        <v>8</v>
      </c>
      <c r="F26" s="4">
        <v>8</v>
      </c>
      <c r="G26" s="4">
        <v>8</v>
      </c>
      <c r="H26" s="6"/>
      <c r="I26" s="4">
        <v>8</v>
      </c>
      <c r="J26" s="4">
        <v>8</v>
      </c>
      <c r="K26" s="4">
        <v>8</v>
      </c>
      <c r="L26" s="29"/>
      <c r="M26" s="29"/>
      <c r="N26" s="29"/>
      <c r="O26" s="29"/>
      <c r="P26" s="29"/>
      <c r="Q26" s="5">
        <v>8</v>
      </c>
      <c r="R26" s="1">
        <f t="shared" si="1"/>
        <v>56</v>
      </c>
      <c r="S26" s="1">
        <f t="shared" si="0"/>
        <v>0</v>
      </c>
    </row>
    <row r="27" spans="1:19" x14ac:dyDescent="0.3">
      <c r="A27" s="1">
        <v>24</v>
      </c>
      <c r="B27" s="4">
        <v>2522119383</v>
      </c>
      <c r="C27" s="12" t="s">
        <v>27</v>
      </c>
      <c r="D27" s="4" t="s">
        <v>40</v>
      </c>
      <c r="E27" s="4">
        <v>8</v>
      </c>
      <c r="F27" s="4">
        <v>8</v>
      </c>
      <c r="G27" s="4">
        <v>8</v>
      </c>
      <c r="H27" s="6"/>
      <c r="I27" s="4">
        <v>8</v>
      </c>
      <c r="J27" s="4">
        <v>8</v>
      </c>
      <c r="K27" s="4">
        <v>8</v>
      </c>
      <c r="L27" s="29"/>
      <c r="M27" s="29"/>
      <c r="N27" s="29"/>
      <c r="O27" s="29"/>
      <c r="P27" s="29"/>
      <c r="Q27" s="5">
        <v>8</v>
      </c>
      <c r="R27" s="1">
        <f t="shared" si="1"/>
        <v>56</v>
      </c>
      <c r="S27" s="1">
        <f t="shared" si="0"/>
        <v>0</v>
      </c>
    </row>
    <row r="28" spans="1:19" x14ac:dyDescent="0.3">
      <c r="A28" s="1">
        <v>25</v>
      </c>
      <c r="B28" s="4">
        <v>2577582303</v>
      </c>
      <c r="C28" s="12" t="s">
        <v>28</v>
      </c>
      <c r="D28" s="4" t="s">
        <v>40</v>
      </c>
      <c r="E28" s="4">
        <v>8</v>
      </c>
      <c r="F28" s="4" t="s">
        <v>3</v>
      </c>
      <c r="G28" s="4" t="s">
        <v>3</v>
      </c>
      <c r="H28" s="6"/>
      <c r="I28" s="4" t="s">
        <v>3</v>
      </c>
      <c r="J28" s="4" t="s">
        <v>3</v>
      </c>
      <c r="K28" s="4" t="s">
        <v>3</v>
      </c>
      <c r="L28" s="29"/>
      <c r="M28" s="29"/>
      <c r="N28" s="29"/>
      <c r="O28" s="29"/>
      <c r="P28" s="29"/>
      <c r="Q28" s="5" t="s">
        <v>3</v>
      </c>
      <c r="R28" s="1">
        <f t="shared" si="1"/>
        <v>8</v>
      </c>
      <c r="S28" s="1">
        <f t="shared" si="0"/>
        <v>6</v>
      </c>
    </row>
    <row r="29" spans="1:19" s="18" customFormat="1" x14ac:dyDescent="0.3">
      <c r="A29"/>
      <c r="B29"/>
      <c r="C29"/>
      <c r="D29" s="5"/>
      <c r="E29" s="26"/>
      <c r="F29" s="27"/>
      <c r="G29" s="27"/>
      <c r="H29" s="27"/>
      <c r="I29" s="27"/>
      <c r="J29" s="27"/>
      <c r="K29" s="27"/>
      <c r="L29" s="28"/>
      <c r="M29" s="33" t="s">
        <v>44</v>
      </c>
      <c r="N29" s="33"/>
      <c r="O29" s="33"/>
      <c r="P29" s="33"/>
      <c r="Q29" s="33"/>
      <c r="R29" s="20">
        <f>SUM(R4:R28)</f>
        <v>904</v>
      </c>
      <c r="S29" s="19"/>
    </row>
    <row r="30" spans="1:19" x14ac:dyDescent="0.3">
      <c r="D30" s="21" t="s">
        <v>45</v>
      </c>
      <c r="E30" s="4">
        <f>COUNTIF(E4:E28,"8")</f>
        <v>15</v>
      </c>
      <c r="F30" s="4">
        <f t="shared" ref="F30:Q30" si="2">COUNTIF(F4:F28,"8")</f>
        <v>21</v>
      </c>
      <c r="G30" s="4">
        <f t="shared" si="2"/>
        <v>18</v>
      </c>
      <c r="H30" s="4">
        <f t="shared" si="2"/>
        <v>0</v>
      </c>
      <c r="I30" s="4">
        <f t="shared" si="2"/>
        <v>15</v>
      </c>
      <c r="J30" s="4">
        <f t="shared" si="2"/>
        <v>15</v>
      </c>
      <c r="K30" s="4">
        <f t="shared" si="2"/>
        <v>15</v>
      </c>
      <c r="L30" s="4">
        <f t="shared" si="2"/>
        <v>0</v>
      </c>
      <c r="M30" s="4">
        <f t="shared" si="2"/>
        <v>0</v>
      </c>
      <c r="N30" s="4">
        <f t="shared" si="2"/>
        <v>0</v>
      </c>
      <c r="O30" s="4">
        <f t="shared" si="2"/>
        <v>0</v>
      </c>
      <c r="P30" s="4">
        <f t="shared" si="2"/>
        <v>0</v>
      </c>
      <c r="Q30" s="4">
        <f t="shared" si="2"/>
        <v>14</v>
      </c>
    </row>
    <row r="31" spans="1:19" x14ac:dyDescent="0.3">
      <c r="C31" s="23" t="s">
        <v>46</v>
      </c>
      <c r="G31" s="11"/>
      <c r="H31" s="11"/>
      <c r="I31" s="11"/>
      <c r="O31" s="17"/>
      <c r="P31" s="30" t="s">
        <v>47</v>
      </c>
      <c r="Q31" s="30"/>
      <c r="R31" s="30"/>
      <c r="S31" s="30"/>
    </row>
    <row r="32" spans="1:19" x14ac:dyDescent="0.3">
      <c r="C32" s="23"/>
      <c r="G32" s="11"/>
      <c r="H32" s="11"/>
      <c r="I32" s="11"/>
      <c r="P32" s="30"/>
      <c r="Q32" s="30"/>
      <c r="R32" s="30"/>
      <c r="S32" s="30"/>
    </row>
    <row r="33" spans="3:19" x14ac:dyDescent="0.3">
      <c r="C33" s="23"/>
      <c r="G33" s="11"/>
      <c r="H33" s="11"/>
      <c r="I33" s="11"/>
      <c r="P33" s="30"/>
      <c r="Q33" s="30"/>
      <c r="R33" s="30"/>
      <c r="S33" s="30"/>
    </row>
    <row r="34" spans="3:19" x14ac:dyDescent="0.3">
      <c r="C34" s="23"/>
      <c r="G34" s="11"/>
      <c r="H34" s="11"/>
      <c r="I34" s="11"/>
      <c r="P34" s="30"/>
      <c r="Q34" s="30"/>
      <c r="R34" s="30"/>
      <c r="S34" s="30"/>
    </row>
    <row r="35" spans="3:19" x14ac:dyDescent="0.3">
      <c r="C35" s="23"/>
      <c r="G35" s="11"/>
      <c r="H35" s="11"/>
      <c r="I35" s="11"/>
      <c r="P35" s="30"/>
      <c r="Q35" s="30"/>
      <c r="R35" s="30"/>
      <c r="S35" s="30"/>
    </row>
    <row r="36" spans="3:19" x14ac:dyDescent="0.3">
      <c r="G36" s="11"/>
      <c r="H36" s="11"/>
      <c r="I36" s="11"/>
    </row>
  </sheetData>
  <mergeCells count="13">
    <mergeCell ref="A2:A3"/>
    <mergeCell ref="B2:B3"/>
    <mergeCell ref="C31:C35"/>
    <mergeCell ref="A1:C1"/>
    <mergeCell ref="D1:S1"/>
    <mergeCell ref="E29:L29"/>
    <mergeCell ref="C2:C3"/>
    <mergeCell ref="D2:D3"/>
    <mergeCell ref="L4:P28"/>
    <mergeCell ref="P31:S35"/>
    <mergeCell ref="R2:R3"/>
    <mergeCell ref="S2:S3"/>
    <mergeCell ref="M29:Q29"/>
  </mergeCells>
  <phoneticPr fontId="2" type="noConversion"/>
  <conditionalFormatting sqref="E5:K28 E4:L4 Q4:Q28 E29">
    <cfRule type="containsText" dxfId="0" priority="1" operator="containsText" text="A">
      <formula>NOT(ISERROR(SEARCH("A",E4)))</formula>
    </cfRule>
  </conditionalFormatting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Mithal Al Shamal -May26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2026-06-01T10:25:10Z</cp:lastPrinted>
  <dcterms:created xsi:type="dcterms:W3CDTF">2026-05-13T08:49:26Z</dcterms:created>
  <dcterms:modified xsi:type="dcterms:W3CDTF">2026-06-01T11:59:14Z</dcterms:modified>
</cp:coreProperties>
</file>