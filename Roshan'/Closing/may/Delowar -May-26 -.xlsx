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Roshan'\Closing\may\"/>
    </mc:Choice>
  </mc:AlternateContent>
  <xr:revisionPtr revIDLastSave="0" documentId="13_ncr:1_{051EDF18-24D1-4EB0-975D-C0E974A1E2F5}" xr6:coauthVersionLast="47" xr6:coauthVersionMax="47" xr10:uidLastSave="{00000000-0000-0000-0000-000000000000}"/>
  <bookViews>
    <workbookView xWindow="-108" yWindow="-108" windowWidth="23256" windowHeight="13896" xr2:uid="{D44D232D-878C-40DD-948A-663E258CC4B8}"/>
  </bookViews>
  <sheets>
    <sheet name="Delowar -May26" sheetId="1" r:id="rId1"/>
  </sheets>
  <definedNames>
    <definedName name="_xlnm._FilterDatabase" localSheetId="0" hidden="1">'Delowar -May26'!$E$2:$AA$31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0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A31" i="1"/>
  <c r="AC29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1" i="1"/>
  <c r="AC22" i="1"/>
  <c r="AC23" i="1"/>
  <c r="AC24" i="1"/>
  <c r="AC25" i="1"/>
  <c r="AC26" i="1"/>
  <c r="AC27" i="1"/>
  <c r="AC28" i="1"/>
  <c r="R31" i="1"/>
  <c r="S31" i="1"/>
  <c r="T31" i="1"/>
  <c r="U31" i="1"/>
  <c r="V31" i="1"/>
  <c r="W31" i="1"/>
  <c r="X31" i="1"/>
  <c r="Y31" i="1"/>
  <c r="Z31" i="1"/>
  <c r="Q31" i="1"/>
  <c r="P31" i="1"/>
  <c r="O31" i="1"/>
  <c r="N31" i="1"/>
  <c r="H31" i="1"/>
  <c r="G31" i="1"/>
  <c r="F31" i="1"/>
  <c r="I31" i="1"/>
  <c r="J31" i="1"/>
  <c r="K31" i="1"/>
  <c r="L31" i="1"/>
  <c r="M31" i="1"/>
  <c r="E31" i="1"/>
  <c r="AC4" i="1"/>
  <c r="AB4" i="1"/>
</calcChain>
</file>

<file path=xl/sharedStrings.xml><?xml version="1.0" encoding="utf-8"?>
<sst xmlns="http://schemas.openxmlformats.org/spreadsheetml/2006/main" count="448" uniqueCount="50">
  <si>
    <t>Name #</t>
  </si>
  <si>
    <t xml:space="preserve">Designation </t>
  </si>
  <si>
    <t>Iqama No.</t>
  </si>
  <si>
    <t>Aziz Ur Rahman Pari Jan Khan</t>
  </si>
  <si>
    <t>Sher Alam Khan Ser Ali Khan</t>
  </si>
  <si>
    <t>Khali Ur Rahman Aziz Ullah</t>
  </si>
  <si>
    <t xml:space="preserve">Gul Rekhan Ajab Gul </t>
  </si>
  <si>
    <t>Dilawar Khan</t>
  </si>
  <si>
    <t>Faiz Muhammad Fazal Ul Rahman</t>
  </si>
  <si>
    <t>Dost Muhammad Fazal Ur Rahman</t>
  </si>
  <si>
    <t xml:space="preserve">Juma Khan Fazal Rahman </t>
  </si>
  <si>
    <t xml:space="preserve">Shuttering Carpenter </t>
  </si>
  <si>
    <t>Steel Fixer</t>
  </si>
  <si>
    <t>Mohammad Imlaq</t>
  </si>
  <si>
    <t xml:space="preserve">Raj Raj Neeka </t>
  </si>
  <si>
    <t xml:space="preserve">Munawar Khan </t>
  </si>
  <si>
    <t>Shams Ur Rahman Nazar</t>
  </si>
  <si>
    <t>Ziarat Khan Fazal ur Rahman</t>
  </si>
  <si>
    <t>Ihtisham Khan Fazal Ur Rahman</t>
  </si>
  <si>
    <t>P</t>
  </si>
  <si>
    <t xml:space="preserve">Total Days </t>
  </si>
  <si>
    <t>A</t>
  </si>
  <si>
    <t xml:space="preserve">Absent </t>
  </si>
  <si>
    <t>Rental Supplier -Delowar -May -26</t>
  </si>
  <si>
    <t>Prepared By</t>
  </si>
  <si>
    <t xml:space="preserve">Approved By </t>
  </si>
  <si>
    <t>Shams Ur Rahman Kachkool</t>
  </si>
  <si>
    <t>Bahadar Khan  JANGRAS</t>
  </si>
  <si>
    <t>S.NO.</t>
  </si>
  <si>
    <t>SAT</t>
  </si>
  <si>
    <t>SUN</t>
  </si>
  <si>
    <t>MON</t>
  </si>
  <si>
    <t>TUE</t>
  </si>
  <si>
    <t>WED</t>
  </si>
  <si>
    <t>THU</t>
  </si>
  <si>
    <t>FRI</t>
  </si>
  <si>
    <t>Sedra Phase 1 B -Roshn Project</t>
  </si>
  <si>
    <t>TOTAL NUMBERS</t>
  </si>
  <si>
    <t>Ibrahim Khan</t>
  </si>
  <si>
    <t>Lal Zada Kareem</t>
  </si>
  <si>
    <t>Habib Ur Rahman FAZAL HAQ</t>
  </si>
  <si>
    <t xml:space="preserve">RAHIM ULLAH </t>
  </si>
  <si>
    <t xml:space="preserve"> PARI JAAN JANSAR</t>
  </si>
  <si>
    <t>Habib Ullah  PARI JAN</t>
  </si>
  <si>
    <t>HABIBULLAH JANIS</t>
  </si>
  <si>
    <t xml:space="preserve">EID HOLIDAY </t>
  </si>
  <si>
    <t>Muhammad Ebraheem IMLAQ</t>
  </si>
  <si>
    <t xml:space="preserve">GUL RAIZ KHAN SHEREEN </t>
  </si>
  <si>
    <t>Rehmat Ullah farmosh</t>
  </si>
  <si>
    <t>TOTAL NUMBER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</si>
</sst>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textRotation="90"/>
    </xf>
    <xf numFmtId="164" fontId="1" fillId="2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Fill="1" applyBorder="1"/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5" borderId="7" xfId="0" applyFill="1" applyBorder="1" applyAlignment="1">
      <alignment vertical="center"/>
    </xf>
    <xf numFmtId="0" fontId="0" fillId="0" borderId="15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Fill="1" applyBorder="1"/>
    <xf numFmtId="0" fontId="0" fillId="5" borderId="1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9D19-BBE9-43B8-8223-250F950F1701}">
  <sheetPr>
    <pageSetUpPr fitToPage="1"/>
  </sheetPr>
  <dimension ref="A1:AC34"/>
  <sheetViews>
    <sheetView tabSelected="1" topLeftCell="D3" workbookViewId="0">
      <selection activeCell="AC4" sqref="AC4:AC27"/>
    </sheetView>
  </sheetViews>
  <sheetFormatPr defaultRowHeight="14.4" x14ac:dyDescent="0.3"/>
  <cols>
    <col min="2" max="2" width="12.33203125" customWidth="1"/>
    <col min="3" max="3" width="37.88671875" customWidth="1"/>
    <col min="4" max="4" width="21.109375" customWidth="1"/>
    <col min="5" max="5" width="4.88671875" style="4" customWidth="1"/>
    <col min="6" max="6" width="5.33203125" style="4" customWidth="1"/>
    <col min="7" max="7" width="6.44140625" style="4" customWidth="1"/>
    <col min="8" max="8" width="5.6640625" style="4" customWidth="1"/>
    <col min="9" max="9" width="5.109375" style="4" customWidth="1"/>
    <col min="10" max="10" width="4.6640625" style="4" customWidth="1"/>
    <col min="11" max="11" width="4.77734375" style="4" customWidth="1"/>
    <col min="12" max="12" width="6.21875" style="4" customWidth="1"/>
    <col min="13" max="13" width="4.88671875" style="4" customWidth="1"/>
    <col min="14" max="14" width="6.109375" style="4" customWidth="1"/>
    <col min="15" max="15" width="5.21875" style="4" customWidth="1"/>
    <col min="16" max="16" width="4.6640625" style="4" customWidth="1"/>
    <col min="17" max="17" width="4.5546875" style="4" customWidth="1"/>
    <col min="18" max="18" width="4.33203125" style="13" customWidth="1"/>
    <col min="19" max="19" width="4.109375" style="4" customWidth="1"/>
    <col min="20" max="20" width="5.44140625" style="4" customWidth="1"/>
    <col min="21" max="21" width="4.6640625" style="4" customWidth="1"/>
    <col min="22" max="26" width="6.109375" style="4" customWidth="1"/>
    <col min="27" max="27" width="6.109375" style="21" customWidth="1"/>
    <col min="28" max="28" width="8.88671875" style="17" customWidth="1"/>
    <col min="29" max="29" width="8.109375" customWidth="1"/>
  </cols>
  <sheetData>
    <row r="1" spans="1:29" ht="24.75" customHeight="1" x14ac:dyDescent="0.3">
      <c r="C1" s="11" t="s">
        <v>23</v>
      </c>
      <c r="D1" s="38" t="s">
        <v>36</v>
      </c>
      <c r="E1" s="38"/>
      <c r="F1" s="38"/>
      <c r="G1" s="38"/>
      <c r="H1" s="38"/>
      <c r="I1" s="38"/>
      <c r="J1" s="38"/>
      <c r="K1" s="38"/>
    </row>
    <row r="2" spans="1:29" s="3" customFormat="1" ht="45" customHeight="1" x14ac:dyDescent="0.3">
      <c r="A2" s="36" t="s">
        <v>28</v>
      </c>
      <c r="B2" s="36" t="s">
        <v>2</v>
      </c>
      <c r="C2" s="49" t="s">
        <v>0</v>
      </c>
      <c r="D2" s="49" t="s">
        <v>1</v>
      </c>
      <c r="E2" s="9">
        <v>46151</v>
      </c>
      <c r="F2" s="9">
        <v>46152</v>
      </c>
      <c r="G2" s="9">
        <v>46153</v>
      </c>
      <c r="H2" s="9">
        <v>46154</v>
      </c>
      <c r="I2" s="9">
        <v>46155</v>
      </c>
      <c r="J2" s="9">
        <v>46156</v>
      </c>
      <c r="K2" s="9">
        <v>46157</v>
      </c>
      <c r="L2" s="9">
        <v>46158</v>
      </c>
      <c r="M2" s="9">
        <v>46159</v>
      </c>
      <c r="N2" s="9">
        <v>46160</v>
      </c>
      <c r="O2" s="9">
        <v>46161</v>
      </c>
      <c r="P2" s="9">
        <v>46162</v>
      </c>
      <c r="Q2" s="9">
        <v>46163</v>
      </c>
      <c r="R2" s="9">
        <v>46164</v>
      </c>
      <c r="S2" s="9">
        <v>46165</v>
      </c>
      <c r="T2" s="9">
        <v>46166</v>
      </c>
      <c r="U2" s="9">
        <v>46167</v>
      </c>
      <c r="V2" s="9">
        <v>46168</v>
      </c>
      <c r="W2" s="9">
        <v>46169</v>
      </c>
      <c r="X2" s="9">
        <v>46170</v>
      </c>
      <c r="Y2" s="9">
        <v>46171</v>
      </c>
      <c r="Z2" s="9">
        <v>46172</v>
      </c>
      <c r="AA2" s="9">
        <v>46173</v>
      </c>
      <c r="AB2" s="50" t="s">
        <v>20</v>
      </c>
      <c r="AC2" s="52" t="s">
        <v>22</v>
      </c>
    </row>
    <row r="3" spans="1:29" s="3" customFormat="1" ht="33.6" customHeight="1" x14ac:dyDescent="0.3">
      <c r="A3" s="37"/>
      <c r="B3" s="37"/>
      <c r="C3" s="49"/>
      <c r="D3" s="49"/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 t="s">
        <v>35</v>
      </c>
      <c r="L3" s="10" t="s">
        <v>29</v>
      </c>
      <c r="M3" s="10" t="s">
        <v>30</v>
      </c>
      <c r="N3" s="10" t="s">
        <v>31</v>
      </c>
      <c r="O3" s="10" t="s">
        <v>32</v>
      </c>
      <c r="P3" s="10" t="s">
        <v>33</v>
      </c>
      <c r="Q3" s="10" t="s">
        <v>34</v>
      </c>
      <c r="R3" s="14" t="s">
        <v>35</v>
      </c>
      <c r="S3" s="10" t="s">
        <v>29</v>
      </c>
      <c r="T3" s="10" t="s">
        <v>30</v>
      </c>
      <c r="U3" s="10" t="s">
        <v>31</v>
      </c>
      <c r="V3" s="10" t="s">
        <v>32</v>
      </c>
      <c r="W3" s="10" t="s">
        <v>33</v>
      </c>
      <c r="X3" s="10" t="s">
        <v>34</v>
      </c>
      <c r="Y3" s="10" t="s">
        <v>35</v>
      </c>
      <c r="Z3" s="10" t="s">
        <v>29</v>
      </c>
      <c r="AA3" s="14" t="s">
        <v>30</v>
      </c>
      <c r="AB3" s="51"/>
      <c r="AC3" s="53"/>
    </row>
    <row r="4" spans="1:29" s="19" customFormat="1" x14ac:dyDescent="0.3">
      <c r="A4" s="18">
        <v>1</v>
      </c>
      <c r="B4" s="18">
        <v>2619443068</v>
      </c>
      <c r="C4" s="12" t="s">
        <v>3</v>
      </c>
      <c r="D4" s="12" t="s">
        <v>11</v>
      </c>
      <c r="E4" s="8" t="s">
        <v>21</v>
      </c>
      <c r="F4" s="8" t="s">
        <v>21</v>
      </c>
      <c r="G4" s="8" t="s">
        <v>21</v>
      </c>
      <c r="H4" s="8" t="s">
        <v>19</v>
      </c>
      <c r="I4" s="8" t="s">
        <v>19</v>
      </c>
      <c r="J4" s="8" t="s">
        <v>21</v>
      </c>
      <c r="K4" s="20"/>
      <c r="L4" s="8" t="s">
        <v>19</v>
      </c>
      <c r="M4" s="8" t="s">
        <v>19</v>
      </c>
      <c r="N4" s="8" t="s">
        <v>19</v>
      </c>
      <c r="O4" s="8" t="s">
        <v>19</v>
      </c>
      <c r="P4" s="8" t="s">
        <v>19</v>
      </c>
      <c r="Q4" s="8" t="s">
        <v>19</v>
      </c>
      <c r="R4" s="20"/>
      <c r="S4" s="8" t="s">
        <v>19</v>
      </c>
      <c r="T4" s="8" t="s">
        <v>19</v>
      </c>
      <c r="U4" s="8" t="s">
        <v>19</v>
      </c>
      <c r="V4" s="39" t="s">
        <v>45</v>
      </c>
      <c r="W4" s="40"/>
      <c r="X4" s="40"/>
      <c r="Y4" s="40"/>
      <c r="Z4" s="41"/>
      <c r="AA4" s="8" t="s">
        <v>19</v>
      </c>
      <c r="AB4" s="8">
        <f>COUNTIF(E4:AA4,"P")</f>
        <v>12</v>
      </c>
      <c r="AC4" s="18">
        <f>COUNTIF(E4:AA4,"A")</f>
        <v>4</v>
      </c>
    </row>
    <row r="5" spans="1:29" s="19" customFormat="1" x14ac:dyDescent="0.3">
      <c r="A5" s="18">
        <v>2</v>
      </c>
      <c r="B5" s="18">
        <v>2286077363</v>
      </c>
      <c r="C5" s="12" t="s">
        <v>26</v>
      </c>
      <c r="D5" s="12" t="s">
        <v>11</v>
      </c>
      <c r="E5" s="8" t="s">
        <v>21</v>
      </c>
      <c r="F5" s="8" t="s">
        <v>21</v>
      </c>
      <c r="G5" s="8" t="s">
        <v>21</v>
      </c>
      <c r="H5" s="8" t="s">
        <v>19</v>
      </c>
      <c r="I5" s="8" t="s">
        <v>19</v>
      </c>
      <c r="J5" s="8" t="s">
        <v>19</v>
      </c>
      <c r="K5" s="20"/>
      <c r="L5" s="8" t="s">
        <v>21</v>
      </c>
      <c r="M5" s="8" t="s">
        <v>19</v>
      </c>
      <c r="N5" s="8" t="s">
        <v>19</v>
      </c>
      <c r="O5" s="8" t="s">
        <v>19</v>
      </c>
      <c r="P5" s="8" t="s">
        <v>21</v>
      </c>
      <c r="Q5" s="8" t="s">
        <v>19</v>
      </c>
      <c r="R5" s="20"/>
      <c r="S5" s="8" t="s">
        <v>19</v>
      </c>
      <c r="T5" s="8" t="s">
        <v>19</v>
      </c>
      <c r="U5" s="8" t="s">
        <v>19</v>
      </c>
      <c r="V5" s="42"/>
      <c r="W5" s="43"/>
      <c r="X5" s="43"/>
      <c r="Y5" s="43"/>
      <c r="Z5" s="44"/>
      <c r="AA5" s="8" t="s">
        <v>19</v>
      </c>
      <c r="AB5" s="8">
        <f t="shared" ref="AB5:AB29" si="0">COUNTIF(E5:AA5,"P")</f>
        <v>11</v>
      </c>
      <c r="AC5" s="18">
        <f t="shared" ref="AC5:AC29" si="1">COUNTIF(E5:AA5,"A")</f>
        <v>5</v>
      </c>
    </row>
    <row r="6" spans="1:29" s="19" customFormat="1" x14ac:dyDescent="0.3">
      <c r="A6" s="18">
        <v>3</v>
      </c>
      <c r="B6" s="18">
        <v>2576908814</v>
      </c>
      <c r="C6" s="12" t="s">
        <v>4</v>
      </c>
      <c r="D6" s="12" t="s">
        <v>11</v>
      </c>
      <c r="E6" s="8" t="s">
        <v>19</v>
      </c>
      <c r="F6" s="8" t="s">
        <v>19</v>
      </c>
      <c r="G6" s="8" t="s">
        <v>19</v>
      </c>
      <c r="H6" s="8" t="s">
        <v>19</v>
      </c>
      <c r="I6" s="8" t="s">
        <v>19</v>
      </c>
      <c r="J6" s="8" t="s">
        <v>19</v>
      </c>
      <c r="K6" s="20"/>
      <c r="L6" s="8" t="s">
        <v>19</v>
      </c>
      <c r="M6" s="8" t="s">
        <v>21</v>
      </c>
      <c r="N6" s="8" t="s">
        <v>19</v>
      </c>
      <c r="O6" s="8" t="s">
        <v>19</v>
      </c>
      <c r="P6" s="8" t="s">
        <v>19</v>
      </c>
      <c r="Q6" s="8" t="s">
        <v>21</v>
      </c>
      <c r="R6" s="20"/>
      <c r="S6" s="8" t="s">
        <v>19</v>
      </c>
      <c r="T6" s="8" t="s">
        <v>19</v>
      </c>
      <c r="U6" s="8" t="s">
        <v>19</v>
      </c>
      <c r="V6" s="42"/>
      <c r="W6" s="43"/>
      <c r="X6" s="43"/>
      <c r="Y6" s="43"/>
      <c r="Z6" s="44"/>
      <c r="AA6" s="8" t="s">
        <v>19</v>
      </c>
      <c r="AB6" s="8">
        <f t="shared" si="0"/>
        <v>14</v>
      </c>
      <c r="AC6" s="18">
        <f t="shared" si="1"/>
        <v>2</v>
      </c>
    </row>
    <row r="7" spans="1:29" s="19" customFormat="1" x14ac:dyDescent="0.3">
      <c r="A7" s="18">
        <v>4</v>
      </c>
      <c r="B7" s="18">
        <v>2489194031</v>
      </c>
      <c r="C7" s="12" t="s">
        <v>5</v>
      </c>
      <c r="D7" s="12" t="s">
        <v>11</v>
      </c>
      <c r="E7" s="8" t="s">
        <v>21</v>
      </c>
      <c r="F7" s="8" t="s">
        <v>21</v>
      </c>
      <c r="G7" s="8" t="s">
        <v>21</v>
      </c>
      <c r="H7" s="8" t="s">
        <v>19</v>
      </c>
      <c r="I7" s="8" t="s">
        <v>19</v>
      </c>
      <c r="J7" s="8" t="s">
        <v>19</v>
      </c>
      <c r="K7" s="20"/>
      <c r="L7" s="8" t="s">
        <v>21</v>
      </c>
      <c r="M7" s="8" t="s">
        <v>21</v>
      </c>
      <c r="N7" s="8" t="s">
        <v>19</v>
      </c>
      <c r="O7" s="8" t="s">
        <v>19</v>
      </c>
      <c r="P7" s="8" t="s">
        <v>19</v>
      </c>
      <c r="Q7" s="8" t="s">
        <v>21</v>
      </c>
      <c r="R7" s="20"/>
      <c r="S7" s="8" t="s">
        <v>19</v>
      </c>
      <c r="T7" s="8" t="s">
        <v>19</v>
      </c>
      <c r="U7" s="8" t="s">
        <v>19</v>
      </c>
      <c r="V7" s="42"/>
      <c r="W7" s="43"/>
      <c r="X7" s="43"/>
      <c r="Y7" s="43"/>
      <c r="Z7" s="44"/>
      <c r="AA7" s="8" t="s">
        <v>19</v>
      </c>
      <c r="AB7" s="8">
        <f t="shared" si="0"/>
        <v>10</v>
      </c>
      <c r="AC7" s="18">
        <f t="shared" si="1"/>
        <v>6</v>
      </c>
    </row>
    <row r="8" spans="1:29" s="19" customFormat="1" x14ac:dyDescent="0.3">
      <c r="A8" s="18">
        <v>5</v>
      </c>
      <c r="B8" s="18">
        <v>2400794349</v>
      </c>
      <c r="C8" s="12" t="s">
        <v>6</v>
      </c>
      <c r="D8" s="12" t="s">
        <v>11</v>
      </c>
      <c r="E8" s="8" t="s">
        <v>21</v>
      </c>
      <c r="F8" s="8" t="s">
        <v>21</v>
      </c>
      <c r="G8" s="8" t="s">
        <v>21</v>
      </c>
      <c r="H8" s="8" t="s">
        <v>19</v>
      </c>
      <c r="I8" s="8" t="s">
        <v>19</v>
      </c>
      <c r="J8" s="8" t="s">
        <v>19</v>
      </c>
      <c r="K8" s="20"/>
      <c r="L8" s="8" t="s">
        <v>19</v>
      </c>
      <c r="M8" s="8" t="s">
        <v>19</v>
      </c>
      <c r="N8" s="8" t="s">
        <v>19</v>
      </c>
      <c r="O8" s="8" t="s">
        <v>19</v>
      </c>
      <c r="P8" s="8" t="s">
        <v>19</v>
      </c>
      <c r="Q8" s="8" t="s">
        <v>19</v>
      </c>
      <c r="R8" s="20"/>
      <c r="S8" s="8" t="s">
        <v>19</v>
      </c>
      <c r="T8" s="8" t="s">
        <v>19</v>
      </c>
      <c r="U8" s="8" t="s">
        <v>21</v>
      </c>
      <c r="V8" s="42"/>
      <c r="W8" s="43"/>
      <c r="X8" s="43"/>
      <c r="Y8" s="43"/>
      <c r="Z8" s="44"/>
      <c r="AA8" s="8" t="s">
        <v>19</v>
      </c>
      <c r="AB8" s="8">
        <f t="shared" si="0"/>
        <v>12</v>
      </c>
      <c r="AC8" s="18">
        <f t="shared" si="1"/>
        <v>4</v>
      </c>
    </row>
    <row r="9" spans="1:29" x14ac:dyDescent="0.3">
      <c r="A9" s="18">
        <v>6</v>
      </c>
      <c r="B9" s="18">
        <v>2322783339</v>
      </c>
      <c r="C9" s="12" t="s">
        <v>7</v>
      </c>
      <c r="D9" s="2" t="s">
        <v>11</v>
      </c>
      <c r="E9" s="5" t="s">
        <v>19</v>
      </c>
      <c r="F9" s="5" t="s">
        <v>19</v>
      </c>
      <c r="G9" s="5" t="s">
        <v>19</v>
      </c>
      <c r="H9" s="5" t="s">
        <v>19</v>
      </c>
      <c r="I9" s="5" t="s">
        <v>19</v>
      </c>
      <c r="J9" s="5" t="s">
        <v>19</v>
      </c>
      <c r="K9" s="20"/>
      <c r="L9" s="5" t="s">
        <v>19</v>
      </c>
      <c r="M9" s="5" t="s">
        <v>19</v>
      </c>
      <c r="N9" s="5" t="s">
        <v>19</v>
      </c>
      <c r="O9" s="8" t="s">
        <v>19</v>
      </c>
      <c r="P9" s="5" t="s">
        <v>19</v>
      </c>
      <c r="Q9" s="5" t="s">
        <v>19</v>
      </c>
      <c r="R9" s="20"/>
      <c r="S9" s="5" t="s">
        <v>19</v>
      </c>
      <c r="T9" s="5" t="s">
        <v>19</v>
      </c>
      <c r="U9" s="5" t="s">
        <v>19</v>
      </c>
      <c r="V9" s="42"/>
      <c r="W9" s="43"/>
      <c r="X9" s="43"/>
      <c r="Y9" s="43"/>
      <c r="Z9" s="44"/>
      <c r="AA9" s="8" t="s">
        <v>19</v>
      </c>
      <c r="AB9" s="8">
        <f t="shared" si="0"/>
        <v>16</v>
      </c>
      <c r="AC9" s="18">
        <f t="shared" si="1"/>
        <v>0</v>
      </c>
    </row>
    <row r="10" spans="1:29" s="19" customFormat="1" x14ac:dyDescent="0.3">
      <c r="A10" s="18">
        <v>7</v>
      </c>
      <c r="B10" s="18">
        <v>2173787579</v>
      </c>
      <c r="C10" s="12" t="s">
        <v>42</v>
      </c>
      <c r="D10" s="12" t="s">
        <v>11</v>
      </c>
      <c r="E10" s="8" t="s">
        <v>21</v>
      </c>
      <c r="F10" s="8" t="s">
        <v>21</v>
      </c>
      <c r="G10" s="8" t="s">
        <v>21</v>
      </c>
      <c r="H10" s="8" t="s">
        <v>21</v>
      </c>
      <c r="I10" s="8" t="s">
        <v>19</v>
      </c>
      <c r="J10" s="8" t="s">
        <v>19</v>
      </c>
      <c r="K10" s="20"/>
      <c r="L10" s="8" t="s">
        <v>21</v>
      </c>
      <c r="M10" s="8" t="s">
        <v>19</v>
      </c>
      <c r="N10" s="8" t="s">
        <v>21</v>
      </c>
      <c r="O10" s="8" t="s">
        <v>21</v>
      </c>
      <c r="P10" s="8" t="s">
        <v>21</v>
      </c>
      <c r="Q10" s="8" t="s">
        <v>21</v>
      </c>
      <c r="R10" s="20"/>
      <c r="S10" s="8" t="s">
        <v>21</v>
      </c>
      <c r="T10" s="8" t="s">
        <v>21</v>
      </c>
      <c r="U10" s="8" t="s">
        <v>19</v>
      </c>
      <c r="V10" s="42"/>
      <c r="W10" s="43"/>
      <c r="X10" s="43"/>
      <c r="Y10" s="43"/>
      <c r="Z10" s="44"/>
      <c r="AA10" s="8" t="s">
        <v>21</v>
      </c>
      <c r="AB10" s="8">
        <f t="shared" si="0"/>
        <v>4</v>
      </c>
      <c r="AC10" s="18">
        <f t="shared" si="1"/>
        <v>12</v>
      </c>
    </row>
    <row r="11" spans="1:29" s="19" customFormat="1" x14ac:dyDescent="0.3">
      <c r="A11" s="18">
        <v>8</v>
      </c>
      <c r="B11" s="18">
        <v>2292945967</v>
      </c>
      <c r="C11" s="12" t="s">
        <v>44</v>
      </c>
      <c r="D11" s="12" t="s">
        <v>11</v>
      </c>
      <c r="E11" s="8" t="s">
        <v>21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20"/>
      <c r="L11" s="8" t="s">
        <v>21</v>
      </c>
      <c r="M11" s="8" t="s">
        <v>21</v>
      </c>
      <c r="N11" s="8" t="s">
        <v>21</v>
      </c>
      <c r="O11" s="8" t="s">
        <v>19</v>
      </c>
      <c r="P11" s="8" t="s">
        <v>19</v>
      </c>
      <c r="Q11" s="8" t="s">
        <v>19</v>
      </c>
      <c r="R11" s="20"/>
      <c r="S11" s="8" t="s">
        <v>19</v>
      </c>
      <c r="T11" s="8" t="s">
        <v>19</v>
      </c>
      <c r="U11" s="8" t="s">
        <v>19</v>
      </c>
      <c r="V11" s="42"/>
      <c r="W11" s="43"/>
      <c r="X11" s="43"/>
      <c r="Y11" s="43"/>
      <c r="Z11" s="44"/>
      <c r="AA11" s="8" t="s">
        <v>19</v>
      </c>
      <c r="AB11" s="8">
        <f t="shared" si="0"/>
        <v>7</v>
      </c>
      <c r="AC11" s="18">
        <f t="shared" si="1"/>
        <v>9</v>
      </c>
    </row>
    <row r="12" spans="1:29" x14ac:dyDescent="0.3">
      <c r="A12" s="18">
        <v>9</v>
      </c>
      <c r="B12" s="18">
        <v>2618939652</v>
      </c>
      <c r="C12" s="12" t="s">
        <v>46</v>
      </c>
      <c r="D12" s="2" t="s">
        <v>11</v>
      </c>
      <c r="E12" s="7" t="s">
        <v>21</v>
      </c>
      <c r="F12" s="7" t="s">
        <v>21</v>
      </c>
      <c r="G12" s="7" t="s">
        <v>21</v>
      </c>
      <c r="H12" s="5" t="s">
        <v>21</v>
      </c>
      <c r="I12" s="5" t="s">
        <v>19</v>
      </c>
      <c r="J12" s="5" t="s">
        <v>21</v>
      </c>
      <c r="K12" s="20"/>
      <c r="L12" s="6" t="s">
        <v>21</v>
      </c>
      <c r="M12" s="5" t="s">
        <v>21</v>
      </c>
      <c r="N12" s="5" t="s">
        <v>21</v>
      </c>
      <c r="O12" s="8" t="s">
        <v>19</v>
      </c>
      <c r="P12" s="5" t="s">
        <v>19</v>
      </c>
      <c r="Q12" s="5" t="s">
        <v>19</v>
      </c>
      <c r="R12" s="20"/>
      <c r="S12" s="5" t="s">
        <v>19</v>
      </c>
      <c r="T12" s="5" t="s">
        <v>19</v>
      </c>
      <c r="U12" s="5" t="s">
        <v>19</v>
      </c>
      <c r="V12" s="42"/>
      <c r="W12" s="43"/>
      <c r="X12" s="43"/>
      <c r="Y12" s="43"/>
      <c r="Z12" s="44"/>
      <c r="AA12" s="8" t="s">
        <v>19</v>
      </c>
      <c r="AB12" s="8">
        <f t="shared" si="0"/>
        <v>8</v>
      </c>
      <c r="AC12" s="18">
        <f t="shared" si="1"/>
        <v>8</v>
      </c>
    </row>
    <row r="13" spans="1:29" x14ac:dyDescent="0.3">
      <c r="A13" s="18">
        <v>10</v>
      </c>
      <c r="B13" s="18">
        <v>2173985280</v>
      </c>
      <c r="C13" s="12" t="s">
        <v>13</v>
      </c>
      <c r="D13" s="2" t="s">
        <v>11</v>
      </c>
      <c r="E13" s="7" t="s">
        <v>21</v>
      </c>
      <c r="F13" s="7" t="s">
        <v>21</v>
      </c>
      <c r="G13" s="7" t="s">
        <v>21</v>
      </c>
      <c r="H13" s="5" t="s">
        <v>21</v>
      </c>
      <c r="I13" s="5" t="s">
        <v>19</v>
      </c>
      <c r="J13" s="5" t="s">
        <v>19</v>
      </c>
      <c r="K13" s="20"/>
      <c r="L13" s="6" t="s">
        <v>21</v>
      </c>
      <c r="M13" s="5" t="s">
        <v>19</v>
      </c>
      <c r="N13" s="5" t="s">
        <v>21</v>
      </c>
      <c r="O13" s="8" t="s">
        <v>21</v>
      </c>
      <c r="P13" s="5" t="s">
        <v>21</v>
      </c>
      <c r="Q13" s="5" t="s">
        <v>19</v>
      </c>
      <c r="R13" s="20"/>
      <c r="S13" s="5" t="s">
        <v>19</v>
      </c>
      <c r="T13" s="5" t="s">
        <v>19</v>
      </c>
      <c r="U13" s="5" t="s">
        <v>19</v>
      </c>
      <c r="V13" s="42"/>
      <c r="W13" s="43"/>
      <c r="X13" s="43"/>
      <c r="Y13" s="43"/>
      <c r="Z13" s="44"/>
      <c r="AA13" s="8" t="s">
        <v>19</v>
      </c>
      <c r="AB13" s="8">
        <f t="shared" si="0"/>
        <v>8</v>
      </c>
      <c r="AC13" s="18">
        <f t="shared" si="1"/>
        <v>8</v>
      </c>
    </row>
    <row r="14" spans="1:29" s="19" customFormat="1" x14ac:dyDescent="0.3">
      <c r="A14" s="18">
        <v>11</v>
      </c>
      <c r="B14" s="18">
        <v>2080082726</v>
      </c>
      <c r="C14" s="12" t="s">
        <v>27</v>
      </c>
      <c r="D14" s="12" t="s">
        <v>11</v>
      </c>
      <c r="E14" s="8" t="s">
        <v>21</v>
      </c>
      <c r="F14" s="8" t="s">
        <v>21</v>
      </c>
      <c r="G14" s="8" t="s">
        <v>21</v>
      </c>
      <c r="H14" s="8" t="s">
        <v>21</v>
      </c>
      <c r="I14" s="8" t="s">
        <v>19</v>
      </c>
      <c r="J14" s="8" t="s">
        <v>21</v>
      </c>
      <c r="K14" s="20"/>
      <c r="L14" s="8" t="s">
        <v>19</v>
      </c>
      <c r="M14" s="8" t="s">
        <v>19</v>
      </c>
      <c r="N14" s="8" t="s">
        <v>19</v>
      </c>
      <c r="O14" s="8" t="s">
        <v>19</v>
      </c>
      <c r="P14" s="8" t="s">
        <v>19</v>
      </c>
      <c r="Q14" s="8" t="s">
        <v>21</v>
      </c>
      <c r="R14" s="20"/>
      <c r="S14" s="8" t="s">
        <v>19</v>
      </c>
      <c r="T14" s="8" t="s">
        <v>19</v>
      </c>
      <c r="U14" s="8" t="s">
        <v>19</v>
      </c>
      <c r="V14" s="42"/>
      <c r="W14" s="43"/>
      <c r="X14" s="43"/>
      <c r="Y14" s="43"/>
      <c r="Z14" s="44"/>
      <c r="AA14" s="8" t="s">
        <v>21</v>
      </c>
      <c r="AB14" s="8">
        <f t="shared" si="0"/>
        <v>9</v>
      </c>
      <c r="AC14" s="18">
        <f t="shared" si="1"/>
        <v>7</v>
      </c>
    </row>
    <row r="15" spans="1:29" x14ac:dyDescent="0.3">
      <c r="A15" s="18">
        <v>12</v>
      </c>
      <c r="B15" s="18">
        <v>2408913008</v>
      </c>
      <c r="C15" s="12" t="s">
        <v>14</v>
      </c>
      <c r="D15" s="2" t="s">
        <v>11</v>
      </c>
      <c r="E15" s="7" t="s">
        <v>21</v>
      </c>
      <c r="F15" s="7" t="s">
        <v>21</v>
      </c>
      <c r="G15" s="7" t="s">
        <v>21</v>
      </c>
      <c r="H15" s="5" t="s">
        <v>21</v>
      </c>
      <c r="I15" s="5" t="s">
        <v>19</v>
      </c>
      <c r="J15" s="5" t="s">
        <v>19</v>
      </c>
      <c r="K15" s="20"/>
      <c r="L15" s="6" t="s">
        <v>21</v>
      </c>
      <c r="M15" s="5" t="s">
        <v>21</v>
      </c>
      <c r="N15" s="5" t="s">
        <v>21</v>
      </c>
      <c r="O15" s="8" t="s">
        <v>19</v>
      </c>
      <c r="P15" s="5" t="s">
        <v>19</v>
      </c>
      <c r="Q15" s="5" t="s">
        <v>19</v>
      </c>
      <c r="R15" s="20"/>
      <c r="S15" s="5" t="s">
        <v>21</v>
      </c>
      <c r="T15" s="5" t="s">
        <v>19</v>
      </c>
      <c r="U15" s="5" t="s">
        <v>21</v>
      </c>
      <c r="V15" s="42"/>
      <c r="W15" s="43"/>
      <c r="X15" s="43"/>
      <c r="Y15" s="43"/>
      <c r="Z15" s="44"/>
      <c r="AA15" s="8" t="s">
        <v>21</v>
      </c>
      <c r="AB15" s="8">
        <f t="shared" si="0"/>
        <v>6</v>
      </c>
      <c r="AC15" s="18">
        <f t="shared" si="1"/>
        <v>10</v>
      </c>
    </row>
    <row r="16" spans="1:29" s="19" customFormat="1" ht="12.6" customHeight="1" x14ac:dyDescent="0.3">
      <c r="A16" s="18">
        <v>13</v>
      </c>
      <c r="B16" s="18">
        <v>2610157618</v>
      </c>
      <c r="C16" s="12" t="s">
        <v>40</v>
      </c>
      <c r="D16" s="12" t="s">
        <v>11</v>
      </c>
      <c r="E16" s="8" t="s">
        <v>21</v>
      </c>
      <c r="F16" s="8" t="s">
        <v>21</v>
      </c>
      <c r="G16" s="8" t="s">
        <v>21</v>
      </c>
      <c r="H16" s="8" t="s">
        <v>21</v>
      </c>
      <c r="I16" s="8" t="s">
        <v>19</v>
      </c>
      <c r="J16" s="8" t="s">
        <v>19</v>
      </c>
      <c r="K16" s="20"/>
      <c r="L16" s="8" t="s">
        <v>19</v>
      </c>
      <c r="M16" s="8" t="s">
        <v>19</v>
      </c>
      <c r="N16" s="8" t="s">
        <v>19</v>
      </c>
      <c r="O16" s="8" t="s">
        <v>19</v>
      </c>
      <c r="P16" s="8" t="s">
        <v>19</v>
      </c>
      <c r="Q16" s="8" t="s">
        <v>19</v>
      </c>
      <c r="R16" s="20"/>
      <c r="S16" s="8" t="s">
        <v>19</v>
      </c>
      <c r="T16" s="8" t="s">
        <v>21</v>
      </c>
      <c r="U16" s="8" t="s">
        <v>21</v>
      </c>
      <c r="V16" s="42"/>
      <c r="W16" s="43"/>
      <c r="X16" s="43"/>
      <c r="Y16" s="43"/>
      <c r="Z16" s="44"/>
      <c r="AA16" s="8" t="s">
        <v>21</v>
      </c>
      <c r="AB16" s="8">
        <f t="shared" si="0"/>
        <v>9</v>
      </c>
      <c r="AC16" s="18">
        <f t="shared" si="1"/>
        <v>7</v>
      </c>
    </row>
    <row r="17" spans="1:29" s="19" customFormat="1" x14ac:dyDescent="0.3">
      <c r="A17" s="18">
        <v>14</v>
      </c>
      <c r="B17" s="18">
        <v>2545888089</v>
      </c>
      <c r="C17" s="12" t="s">
        <v>43</v>
      </c>
      <c r="D17" s="12" t="s">
        <v>11</v>
      </c>
      <c r="E17" s="8" t="s">
        <v>21</v>
      </c>
      <c r="F17" s="8" t="s">
        <v>21</v>
      </c>
      <c r="G17" s="8" t="s">
        <v>21</v>
      </c>
      <c r="H17" s="8" t="s">
        <v>21</v>
      </c>
      <c r="I17" s="8" t="s">
        <v>19</v>
      </c>
      <c r="J17" s="8" t="s">
        <v>21</v>
      </c>
      <c r="K17" s="20"/>
      <c r="L17" s="8" t="s">
        <v>19</v>
      </c>
      <c r="M17" s="8" t="s">
        <v>19</v>
      </c>
      <c r="N17" s="8" t="s">
        <v>19</v>
      </c>
      <c r="O17" s="8" t="s">
        <v>19</v>
      </c>
      <c r="P17" s="8" t="s">
        <v>19</v>
      </c>
      <c r="Q17" s="8" t="s">
        <v>19</v>
      </c>
      <c r="R17" s="20"/>
      <c r="S17" s="8" t="s">
        <v>19</v>
      </c>
      <c r="T17" s="8" t="s">
        <v>21</v>
      </c>
      <c r="U17" s="8" t="s">
        <v>19</v>
      </c>
      <c r="V17" s="42"/>
      <c r="W17" s="43"/>
      <c r="X17" s="43"/>
      <c r="Y17" s="43"/>
      <c r="Z17" s="44"/>
      <c r="AA17" s="8" t="s">
        <v>19</v>
      </c>
      <c r="AB17" s="8">
        <f t="shared" si="0"/>
        <v>10</v>
      </c>
      <c r="AC17" s="18">
        <f t="shared" si="1"/>
        <v>6</v>
      </c>
    </row>
    <row r="18" spans="1:29" x14ac:dyDescent="0.3">
      <c r="A18" s="18">
        <v>15</v>
      </c>
      <c r="B18" s="18">
        <v>2517809717</v>
      </c>
      <c r="C18" s="12" t="s">
        <v>15</v>
      </c>
      <c r="D18" s="2" t="s">
        <v>11</v>
      </c>
      <c r="E18" s="7" t="s">
        <v>21</v>
      </c>
      <c r="F18" s="7" t="s">
        <v>21</v>
      </c>
      <c r="G18" s="7" t="s">
        <v>21</v>
      </c>
      <c r="H18" s="5" t="s">
        <v>21</v>
      </c>
      <c r="I18" s="5" t="s">
        <v>19</v>
      </c>
      <c r="J18" s="5" t="s">
        <v>21</v>
      </c>
      <c r="K18" s="20"/>
      <c r="L18" s="6" t="s">
        <v>21</v>
      </c>
      <c r="M18" s="5" t="s">
        <v>21</v>
      </c>
      <c r="N18" s="5" t="s">
        <v>21</v>
      </c>
      <c r="O18" s="8" t="s">
        <v>21</v>
      </c>
      <c r="P18" s="5" t="s">
        <v>21</v>
      </c>
      <c r="Q18" s="5" t="s">
        <v>21</v>
      </c>
      <c r="R18" s="20"/>
      <c r="S18" s="5" t="s">
        <v>21</v>
      </c>
      <c r="T18" s="5" t="s">
        <v>21</v>
      </c>
      <c r="U18" s="5" t="s">
        <v>21</v>
      </c>
      <c r="V18" s="42"/>
      <c r="W18" s="43"/>
      <c r="X18" s="43"/>
      <c r="Y18" s="43"/>
      <c r="Z18" s="44"/>
      <c r="AA18" s="8" t="s">
        <v>21</v>
      </c>
      <c r="AB18" s="8">
        <f t="shared" si="0"/>
        <v>1</v>
      </c>
      <c r="AC18" s="18">
        <f t="shared" si="1"/>
        <v>15</v>
      </c>
    </row>
    <row r="19" spans="1:29" s="19" customFormat="1" x14ac:dyDescent="0.3">
      <c r="A19" s="18">
        <v>16</v>
      </c>
      <c r="B19" s="18">
        <v>2341405609</v>
      </c>
      <c r="C19" s="12" t="s">
        <v>16</v>
      </c>
      <c r="D19" s="12" t="s">
        <v>11</v>
      </c>
      <c r="E19" s="8" t="s">
        <v>21</v>
      </c>
      <c r="F19" s="8" t="s">
        <v>19</v>
      </c>
      <c r="G19" s="8" t="s">
        <v>19</v>
      </c>
      <c r="H19" s="8" t="s">
        <v>21</v>
      </c>
      <c r="I19" s="8" t="s">
        <v>21</v>
      </c>
      <c r="J19" s="8" t="s">
        <v>19</v>
      </c>
      <c r="K19" s="20"/>
      <c r="L19" s="8" t="s">
        <v>19</v>
      </c>
      <c r="M19" s="8" t="s">
        <v>19</v>
      </c>
      <c r="N19" s="8" t="s">
        <v>19</v>
      </c>
      <c r="O19" s="8" t="s">
        <v>19</v>
      </c>
      <c r="P19" s="8" t="s">
        <v>19</v>
      </c>
      <c r="Q19" s="8" t="s">
        <v>21</v>
      </c>
      <c r="R19" s="20"/>
      <c r="S19" s="8" t="s">
        <v>21</v>
      </c>
      <c r="T19" s="8" t="s">
        <v>19</v>
      </c>
      <c r="U19" s="8" t="s">
        <v>19</v>
      </c>
      <c r="V19" s="42"/>
      <c r="W19" s="43"/>
      <c r="X19" s="43"/>
      <c r="Y19" s="43"/>
      <c r="Z19" s="44"/>
      <c r="AA19" s="8" t="s">
        <v>21</v>
      </c>
      <c r="AB19" s="8">
        <f t="shared" si="0"/>
        <v>10</v>
      </c>
      <c r="AC19" s="18">
        <f t="shared" si="1"/>
        <v>6</v>
      </c>
    </row>
    <row r="20" spans="1:29" s="19" customFormat="1" x14ac:dyDescent="0.3">
      <c r="A20" s="18">
        <v>17</v>
      </c>
      <c r="B20" s="18">
        <v>2601143759</v>
      </c>
      <c r="C20" s="12" t="s">
        <v>47</v>
      </c>
      <c r="D20" s="12" t="s">
        <v>11</v>
      </c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6"/>
      <c r="V20" s="42"/>
      <c r="W20" s="43"/>
      <c r="X20" s="43"/>
      <c r="Y20" s="43"/>
      <c r="Z20" s="44"/>
      <c r="AA20" s="8" t="s">
        <v>19</v>
      </c>
      <c r="AB20" s="8">
        <f t="shared" si="0"/>
        <v>1</v>
      </c>
      <c r="AC20" s="18"/>
    </row>
    <row r="21" spans="1:29" x14ac:dyDescent="0.3">
      <c r="A21" s="18">
        <v>18</v>
      </c>
      <c r="B21" s="18">
        <v>2471234100</v>
      </c>
      <c r="C21" s="2" t="s">
        <v>8</v>
      </c>
      <c r="D21" s="2" t="s">
        <v>12</v>
      </c>
      <c r="E21" s="7" t="s">
        <v>21</v>
      </c>
      <c r="F21" s="7" t="s">
        <v>21</v>
      </c>
      <c r="G21" s="7" t="s">
        <v>21</v>
      </c>
      <c r="H21" s="5" t="s">
        <v>19</v>
      </c>
      <c r="I21" s="5" t="s">
        <v>19</v>
      </c>
      <c r="J21" s="5" t="s">
        <v>19</v>
      </c>
      <c r="K21" s="20"/>
      <c r="L21" s="5" t="s">
        <v>19</v>
      </c>
      <c r="M21" s="5" t="s">
        <v>19</v>
      </c>
      <c r="N21" s="5" t="s">
        <v>19</v>
      </c>
      <c r="O21" s="8" t="s">
        <v>19</v>
      </c>
      <c r="P21" s="5" t="s">
        <v>19</v>
      </c>
      <c r="Q21" s="5" t="s">
        <v>19</v>
      </c>
      <c r="R21" s="20"/>
      <c r="S21" s="5" t="s">
        <v>19</v>
      </c>
      <c r="T21" s="5" t="s">
        <v>19</v>
      </c>
      <c r="U21" s="5" t="s">
        <v>19</v>
      </c>
      <c r="V21" s="42"/>
      <c r="W21" s="43"/>
      <c r="X21" s="43"/>
      <c r="Y21" s="43"/>
      <c r="Z21" s="44"/>
      <c r="AA21" s="8" t="s">
        <v>19</v>
      </c>
      <c r="AB21" s="8">
        <f t="shared" si="0"/>
        <v>13</v>
      </c>
      <c r="AC21" s="18">
        <f t="shared" si="1"/>
        <v>3</v>
      </c>
    </row>
    <row r="22" spans="1:29" x14ac:dyDescent="0.3">
      <c r="A22" s="18">
        <v>19</v>
      </c>
      <c r="B22" s="1">
        <v>2492943408</v>
      </c>
      <c r="C22" s="2" t="s">
        <v>9</v>
      </c>
      <c r="D22" s="2" t="s">
        <v>12</v>
      </c>
      <c r="E22" s="7" t="s">
        <v>21</v>
      </c>
      <c r="F22" s="7" t="s">
        <v>21</v>
      </c>
      <c r="G22" s="7" t="s">
        <v>21</v>
      </c>
      <c r="H22" s="5" t="s">
        <v>19</v>
      </c>
      <c r="I22" s="5" t="s">
        <v>21</v>
      </c>
      <c r="J22" s="5" t="s">
        <v>21</v>
      </c>
      <c r="K22" s="20"/>
      <c r="L22" s="6" t="s">
        <v>21</v>
      </c>
      <c r="M22" s="5" t="s">
        <v>21</v>
      </c>
      <c r="N22" s="5" t="s">
        <v>19</v>
      </c>
      <c r="O22" s="8" t="s">
        <v>19</v>
      </c>
      <c r="P22" s="5" t="s">
        <v>19</v>
      </c>
      <c r="Q22" s="5" t="s">
        <v>19</v>
      </c>
      <c r="R22" s="20"/>
      <c r="S22" s="5" t="s">
        <v>19</v>
      </c>
      <c r="T22" s="5" t="s">
        <v>19</v>
      </c>
      <c r="U22" s="5" t="s">
        <v>19</v>
      </c>
      <c r="V22" s="42"/>
      <c r="W22" s="43"/>
      <c r="X22" s="43"/>
      <c r="Y22" s="43"/>
      <c r="Z22" s="44"/>
      <c r="AA22" s="8" t="s">
        <v>21</v>
      </c>
      <c r="AB22" s="8">
        <f t="shared" si="0"/>
        <v>8</v>
      </c>
      <c r="AC22" s="18">
        <f t="shared" si="1"/>
        <v>8</v>
      </c>
    </row>
    <row r="23" spans="1:29" ht="15.6" customHeight="1" x14ac:dyDescent="0.3">
      <c r="A23" s="18">
        <v>20</v>
      </c>
      <c r="B23" s="1">
        <v>2481080212</v>
      </c>
      <c r="C23" s="2" t="s">
        <v>10</v>
      </c>
      <c r="D23" s="2" t="s">
        <v>12</v>
      </c>
      <c r="E23" s="7" t="s">
        <v>21</v>
      </c>
      <c r="F23" s="7" t="s">
        <v>21</v>
      </c>
      <c r="G23" s="7" t="s">
        <v>21</v>
      </c>
      <c r="H23" s="5" t="s">
        <v>19</v>
      </c>
      <c r="I23" s="5" t="s">
        <v>19</v>
      </c>
      <c r="J23" s="5" t="s">
        <v>21</v>
      </c>
      <c r="K23" s="20"/>
      <c r="L23" s="6" t="s">
        <v>21</v>
      </c>
      <c r="M23" s="5" t="s">
        <v>21</v>
      </c>
      <c r="N23" s="5" t="s">
        <v>21</v>
      </c>
      <c r="O23" s="8" t="s">
        <v>21</v>
      </c>
      <c r="P23" s="5" t="s">
        <v>19</v>
      </c>
      <c r="Q23" s="5" t="s">
        <v>19</v>
      </c>
      <c r="R23" s="20"/>
      <c r="S23" s="5" t="s">
        <v>19</v>
      </c>
      <c r="T23" s="5" t="s">
        <v>19</v>
      </c>
      <c r="U23" s="5" t="s">
        <v>19</v>
      </c>
      <c r="V23" s="42"/>
      <c r="W23" s="43"/>
      <c r="X23" s="43"/>
      <c r="Y23" s="43"/>
      <c r="Z23" s="44"/>
      <c r="AA23" s="8" t="s">
        <v>21</v>
      </c>
      <c r="AB23" s="8">
        <f t="shared" si="0"/>
        <v>7</v>
      </c>
      <c r="AC23" s="18">
        <f t="shared" si="1"/>
        <v>9</v>
      </c>
    </row>
    <row r="24" spans="1:29" ht="13.2" customHeight="1" x14ac:dyDescent="0.3">
      <c r="A24" s="18">
        <v>21</v>
      </c>
      <c r="B24" s="1">
        <v>2359860356</v>
      </c>
      <c r="C24" s="2" t="s">
        <v>17</v>
      </c>
      <c r="D24" s="2" t="s">
        <v>12</v>
      </c>
      <c r="E24" s="7" t="s">
        <v>21</v>
      </c>
      <c r="F24" s="7" t="s">
        <v>21</v>
      </c>
      <c r="G24" s="7" t="s">
        <v>21</v>
      </c>
      <c r="H24" s="5" t="s">
        <v>21</v>
      </c>
      <c r="I24" s="5" t="s">
        <v>19</v>
      </c>
      <c r="J24" s="5" t="s">
        <v>19</v>
      </c>
      <c r="K24" s="20"/>
      <c r="L24" s="5" t="s">
        <v>19</v>
      </c>
      <c r="M24" s="5" t="s">
        <v>19</v>
      </c>
      <c r="N24" s="5" t="s">
        <v>19</v>
      </c>
      <c r="O24" s="8" t="s">
        <v>19</v>
      </c>
      <c r="P24" s="5" t="s">
        <v>19</v>
      </c>
      <c r="Q24" s="5" t="s">
        <v>19</v>
      </c>
      <c r="R24" s="20"/>
      <c r="S24" s="5" t="s">
        <v>19</v>
      </c>
      <c r="T24" s="5" t="s">
        <v>19</v>
      </c>
      <c r="U24" s="5" t="s">
        <v>19</v>
      </c>
      <c r="V24" s="42"/>
      <c r="W24" s="43"/>
      <c r="X24" s="43"/>
      <c r="Y24" s="43"/>
      <c r="Z24" s="44"/>
      <c r="AA24" s="8" t="s">
        <v>19</v>
      </c>
      <c r="AB24" s="8">
        <f t="shared" si="0"/>
        <v>12</v>
      </c>
      <c r="AC24" s="18">
        <f t="shared" si="1"/>
        <v>4</v>
      </c>
    </row>
    <row r="25" spans="1:29" ht="12.6" customHeight="1" x14ac:dyDescent="0.3">
      <c r="A25" s="18">
        <v>22</v>
      </c>
      <c r="B25" s="1">
        <v>2600701391</v>
      </c>
      <c r="C25" s="2" t="s">
        <v>18</v>
      </c>
      <c r="D25" s="2" t="s">
        <v>12</v>
      </c>
      <c r="E25" s="7" t="s">
        <v>21</v>
      </c>
      <c r="F25" s="7" t="s">
        <v>21</v>
      </c>
      <c r="G25" s="7" t="s">
        <v>21</v>
      </c>
      <c r="H25" s="5" t="s">
        <v>21</v>
      </c>
      <c r="I25" s="5" t="s">
        <v>21</v>
      </c>
      <c r="J25" s="5" t="s">
        <v>21</v>
      </c>
      <c r="K25" s="20"/>
      <c r="L25" s="5" t="s">
        <v>19</v>
      </c>
      <c r="M25" s="5" t="s">
        <v>19</v>
      </c>
      <c r="N25" s="5" t="s">
        <v>19</v>
      </c>
      <c r="O25" s="8" t="s">
        <v>19</v>
      </c>
      <c r="P25" s="5" t="s">
        <v>19</v>
      </c>
      <c r="Q25" s="5" t="s">
        <v>19</v>
      </c>
      <c r="R25" s="20"/>
      <c r="S25" s="5" t="s">
        <v>19</v>
      </c>
      <c r="T25" s="5" t="s">
        <v>19</v>
      </c>
      <c r="U25" s="5" t="s">
        <v>19</v>
      </c>
      <c r="V25" s="42"/>
      <c r="W25" s="43"/>
      <c r="X25" s="43"/>
      <c r="Y25" s="43"/>
      <c r="Z25" s="44"/>
      <c r="AA25" s="8" t="s">
        <v>19</v>
      </c>
      <c r="AB25" s="8">
        <f t="shared" si="0"/>
        <v>10</v>
      </c>
      <c r="AC25" s="18">
        <f t="shared" si="1"/>
        <v>6</v>
      </c>
    </row>
    <row r="26" spans="1:29" x14ac:dyDescent="0.3">
      <c r="A26" s="18">
        <v>23</v>
      </c>
      <c r="B26" s="1">
        <v>2593557420</v>
      </c>
      <c r="C26" s="12" t="s">
        <v>38</v>
      </c>
      <c r="D26" s="12" t="s">
        <v>12</v>
      </c>
      <c r="E26" s="57"/>
      <c r="F26" s="58"/>
      <c r="G26" s="58"/>
      <c r="H26" s="58"/>
      <c r="I26" s="58"/>
      <c r="J26" s="58"/>
      <c r="K26" s="58"/>
      <c r="L26" s="58"/>
      <c r="M26" s="58"/>
      <c r="N26" s="5" t="s">
        <v>19</v>
      </c>
      <c r="O26" s="8" t="s">
        <v>19</v>
      </c>
      <c r="P26" s="5" t="s">
        <v>19</v>
      </c>
      <c r="Q26" s="5" t="s">
        <v>19</v>
      </c>
      <c r="R26" s="20"/>
      <c r="S26" s="5" t="s">
        <v>19</v>
      </c>
      <c r="T26" s="5" t="s">
        <v>21</v>
      </c>
      <c r="U26" s="5" t="s">
        <v>19</v>
      </c>
      <c r="V26" s="42"/>
      <c r="W26" s="43"/>
      <c r="X26" s="43"/>
      <c r="Y26" s="43"/>
      <c r="Z26" s="44"/>
      <c r="AA26" s="8" t="s">
        <v>21</v>
      </c>
      <c r="AB26" s="8">
        <f t="shared" si="0"/>
        <v>6</v>
      </c>
      <c r="AC26" s="18">
        <f t="shared" si="1"/>
        <v>2</v>
      </c>
    </row>
    <row r="27" spans="1:29" x14ac:dyDescent="0.3">
      <c r="A27" s="18">
        <v>24</v>
      </c>
      <c r="B27" s="1">
        <v>2590432742</v>
      </c>
      <c r="C27" s="12" t="s">
        <v>39</v>
      </c>
      <c r="D27" s="12" t="s">
        <v>12</v>
      </c>
      <c r="E27" s="59"/>
      <c r="F27" s="60"/>
      <c r="G27" s="60"/>
      <c r="H27" s="60"/>
      <c r="I27" s="60"/>
      <c r="J27" s="60"/>
      <c r="K27" s="60"/>
      <c r="L27" s="60"/>
      <c r="M27" s="60"/>
      <c r="N27" s="5" t="s">
        <v>19</v>
      </c>
      <c r="O27" s="16" t="s">
        <v>19</v>
      </c>
      <c r="P27" s="5" t="s">
        <v>21</v>
      </c>
      <c r="Q27" s="5" t="s">
        <v>19</v>
      </c>
      <c r="R27" s="20"/>
      <c r="S27" s="5" t="s">
        <v>21</v>
      </c>
      <c r="T27" s="5" t="s">
        <v>21</v>
      </c>
      <c r="U27" s="5" t="s">
        <v>21</v>
      </c>
      <c r="V27" s="42"/>
      <c r="W27" s="43"/>
      <c r="X27" s="43"/>
      <c r="Y27" s="43"/>
      <c r="Z27" s="44"/>
      <c r="AA27" s="8" t="s">
        <v>21</v>
      </c>
      <c r="AB27" s="8">
        <f t="shared" si="0"/>
        <v>3</v>
      </c>
      <c r="AC27" s="18">
        <f t="shared" si="1"/>
        <v>5</v>
      </c>
    </row>
    <row r="28" spans="1:29" x14ac:dyDescent="0.3">
      <c r="A28" s="18">
        <v>25</v>
      </c>
      <c r="B28" s="15">
        <v>2493843433</v>
      </c>
      <c r="C28" s="12" t="s">
        <v>41</v>
      </c>
      <c r="D28" s="12" t="s">
        <v>12</v>
      </c>
      <c r="E28" s="59"/>
      <c r="F28" s="60"/>
      <c r="G28" s="60"/>
      <c r="H28" s="60"/>
      <c r="I28" s="60"/>
      <c r="J28" s="60"/>
      <c r="K28" s="60"/>
      <c r="L28" s="60"/>
      <c r="M28" s="60"/>
      <c r="N28" s="58"/>
      <c r="O28" s="58"/>
      <c r="P28" s="8" t="s">
        <v>19</v>
      </c>
      <c r="Q28" s="5" t="s">
        <v>19</v>
      </c>
      <c r="R28" s="20"/>
      <c r="S28" s="5" t="s">
        <v>19</v>
      </c>
      <c r="T28" s="5" t="s">
        <v>19</v>
      </c>
      <c r="U28" s="5" t="s">
        <v>19</v>
      </c>
      <c r="V28" s="45"/>
      <c r="W28" s="46"/>
      <c r="X28" s="46"/>
      <c r="Y28" s="46"/>
      <c r="Z28" s="47"/>
      <c r="AA28" s="8" t="s">
        <v>21</v>
      </c>
      <c r="AB28" s="8">
        <f t="shared" si="0"/>
        <v>5</v>
      </c>
      <c r="AC28" s="18">
        <f t="shared" si="1"/>
        <v>1</v>
      </c>
    </row>
    <row r="29" spans="1:29" ht="15" thickBot="1" x14ac:dyDescent="0.35">
      <c r="A29" s="26">
        <v>26</v>
      </c>
      <c r="B29" s="27">
        <v>2601831049</v>
      </c>
      <c r="C29" s="28" t="s">
        <v>48</v>
      </c>
      <c r="D29" s="28" t="s">
        <v>12</v>
      </c>
      <c r="E29" s="61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29"/>
      <c r="Q29" s="29"/>
      <c r="R29" s="29"/>
      <c r="S29" s="29"/>
      <c r="T29" s="29"/>
      <c r="U29" s="29"/>
      <c r="V29" s="29"/>
      <c r="W29" s="25"/>
      <c r="X29" s="25"/>
      <c r="Y29" s="25"/>
      <c r="Z29" s="25"/>
      <c r="AA29" s="22" t="s">
        <v>19</v>
      </c>
      <c r="AB29" s="8">
        <f t="shared" si="0"/>
        <v>1</v>
      </c>
      <c r="AC29" s="18">
        <f t="shared" si="1"/>
        <v>0</v>
      </c>
    </row>
    <row r="30" spans="1:29" x14ac:dyDescent="0.3">
      <c r="A30" s="23"/>
      <c r="B30" s="15"/>
      <c r="C30" s="24"/>
      <c r="D30" s="2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30"/>
      <c r="Q30" s="30"/>
      <c r="R30" s="30"/>
      <c r="S30" s="30"/>
      <c r="T30" s="30"/>
      <c r="U30" s="30"/>
      <c r="V30" s="30"/>
      <c r="W30" s="33" t="s">
        <v>49</v>
      </c>
      <c r="X30" s="33"/>
      <c r="Y30" s="33"/>
      <c r="Z30" s="33"/>
      <c r="AA30" s="33"/>
      <c r="AB30" s="32">
        <f>SUM(E31:AA31)</f>
        <v>213</v>
      </c>
      <c r="AC30" s="23"/>
    </row>
    <row r="31" spans="1:29" x14ac:dyDescent="0.3">
      <c r="A31" s="4"/>
      <c r="B31" s="4"/>
      <c r="C31" s="34" t="s">
        <v>37</v>
      </c>
      <c r="D31" s="35"/>
      <c r="E31" s="5">
        <f t="shared" ref="E31:M31" si="2">COUNTIF(E4:E25,"P")</f>
        <v>2</v>
      </c>
      <c r="F31" s="5">
        <f t="shared" si="2"/>
        <v>3</v>
      </c>
      <c r="G31" s="5">
        <f t="shared" si="2"/>
        <v>3</v>
      </c>
      <c r="H31" s="5">
        <f t="shared" si="2"/>
        <v>9</v>
      </c>
      <c r="I31" s="5">
        <f t="shared" si="2"/>
        <v>17</v>
      </c>
      <c r="J31" s="5">
        <f t="shared" si="2"/>
        <v>12</v>
      </c>
      <c r="K31" s="5">
        <f t="shared" si="2"/>
        <v>0</v>
      </c>
      <c r="L31" s="5">
        <f t="shared" si="2"/>
        <v>11</v>
      </c>
      <c r="M31" s="5">
        <f t="shared" si="2"/>
        <v>13</v>
      </c>
      <c r="N31" s="5">
        <f>COUNTIF(N4:N27,"P")</f>
        <v>16</v>
      </c>
      <c r="O31" s="5">
        <f>COUNTIF(O4:O27,"P")</f>
        <v>19</v>
      </c>
      <c r="P31" s="5">
        <f t="shared" ref="P31:Z31" si="3">COUNTIF(P4:P28,"P")</f>
        <v>19</v>
      </c>
      <c r="Q31" s="5">
        <f t="shared" si="3"/>
        <v>18</v>
      </c>
      <c r="R31" s="5">
        <f t="shared" si="3"/>
        <v>0</v>
      </c>
      <c r="S31" s="5">
        <f t="shared" si="3"/>
        <v>19</v>
      </c>
      <c r="T31" s="5">
        <f t="shared" si="3"/>
        <v>18</v>
      </c>
      <c r="U31" s="5">
        <f t="shared" si="3"/>
        <v>19</v>
      </c>
      <c r="V31" s="5">
        <f t="shared" si="3"/>
        <v>0</v>
      </c>
      <c r="W31" s="31">
        <f t="shared" si="3"/>
        <v>0</v>
      </c>
      <c r="X31" s="31">
        <f t="shared" si="3"/>
        <v>0</v>
      </c>
      <c r="Y31" s="31">
        <f t="shared" si="3"/>
        <v>0</v>
      </c>
      <c r="Z31" s="31">
        <f t="shared" si="3"/>
        <v>0</v>
      </c>
      <c r="AA31" s="31">
        <f>COUNTIF(AA4:AA29,"P")</f>
        <v>15</v>
      </c>
    </row>
    <row r="32" spans="1:29" x14ac:dyDescent="0.3">
      <c r="A32" s="4"/>
      <c r="B32" s="4"/>
      <c r="C32" s="4"/>
      <c r="D32" s="4"/>
      <c r="X32"/>
      <c r="Y32"/>
      <c r="Z32"/>
      <c r="AA32" s="3"/>
    </row>
    <row r="33" spans="5:29" x14ac:dyDescent="0.3">
      <c r="AB33" s="21"/>
    </row>
    <row r="34" spans="5:29" x14ac:dyDescent="0.3">
      <c r="E34" s="48" t="s">
        <v>24</v>
      </c>
      <c r="F34" s="48"/>
      <c r="G34" s="48"/>
      <c r="H34" s="48"/>
      <c r="I34" s="48"/>
      <c r="J34" s="48"/>
      <c r="O34" s="48"/>
      <c r="P34" s="48"/>
      <c r="Q34" s="48"/>
      <c r="R34" s="48"/>
      <c r="S34" s="48"/>
      <c r="Y34" s="21" t="s">
        <v>25</v>
      </c>
      <c r="Z34" s="21"/>
      <c r="AC34" s="21"/>
    </row>
  </sheetData>
  <mergeCells count="15">
    <mergeCell ref="AC2:AC3"/>
    <mergeCell ref="E20:U20"/>
    <mergeCell ref="E26:M29"/>
    <mergeCell ref="N28:O29"/>
    <mergeCell ref="E34:J34"/>
    <mergeCell ref="O34:S34"/>
    <mergeCell ref="C2:C3"/>
    <mergeCell ref="D2:D3"/>
    <mergeCell ref="AB2:AB3"/>
    <mergeCell ref="W30:AA30"/>
    <mergeCell ref="C31:D31"/>
    <mergeCell ref="A2:A3"/>
    <mergeCell ref="B2:B3"/>
    <mergeCell ref="D1:K1"/>
    <mergeCell ref="V4:Z28"/>
  </mergeCells>
  <phoneticPr fontId="2" type="noConversion"/>
  <conditionalFormatting sqref="E26 N26:N27 O19:T19 O21:U21 O22:P27 Q22:U28 O12:U18 E12:N19 E5:U11 E4:V4 AA4:AA29 E21:N25 E20">
    <cfRule type="containsText" dxfId="0" priority="1" operator="containsText" text="A">
      <formula>NOT(ISERROR(SEARCH("A",E4)))</formula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Delowar -May26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2026-05-31T10:46:35Z</cp:lastPrinted>
  <dcterms:created xsi:type="dcterms:W3CDTF">2026-05-13T08:49:26Z</dcterms:created>
  <dcterms:modified xsi:type="dcterms:W3CDTF">2026-06-01T10:54:07Z</dcterms:modified>
</cp:coreProperties>
</file>