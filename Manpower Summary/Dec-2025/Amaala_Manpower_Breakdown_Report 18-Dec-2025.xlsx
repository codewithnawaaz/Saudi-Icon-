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AB3E3548-A04F-4556-B5C0-017A771F9677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52" i="1" l="1"/>
  <c r="AE51" i="1"/>
  <c r="D15" i="2"/>
  <c r="C15" i="2"/>
  <c r="B15" i="2"/>
  <c r="D14" i="2"/>
  <c r="C14" i="2"/>
  <c r="B14" i="2"/>
  <c r="D8" i="2"/>
  <c r="C8" i="2"/>
  <c r="B8" i="2"/>
  <c r="D7" i="2"/>
  <c r="C7" i="2"/>
  <c r="B7" i="2"/>
  <c r="E6" i="2"/>
  <c r="D6" i="2"/>
  <c r="C6" i="2"/>
  <c r="B6" i="2"/>
  <c r="AE53" i="1" l="1"/>
  <c r="E20" i="2"/>
  <c r="AD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<sst xmlns="http://schemas.openxmlformats.org/spreadsheetml/2006/main" count="1219" uniqueCount="74">
  <si>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</si>
  <si>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</si>
  <si>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</si>
  <si>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</si>
  <si>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</si>
  <si>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</si>
  <si>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</si>
  <si>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</si>
  <si>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</si>
  <si>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</si>
  <si>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</si>
  <si>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</si>
  <si>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</si>
  <si>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</si>
  <si>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</si>
  <si>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</si>
  <si>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</si>
  <si>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</si>
  <si>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</si>
  <si>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</si>
  <si>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</si>
  <si>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</si>
  <si>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</si>
  <si>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</si>
  <si>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</si>
  <si>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</si>
  <si>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</si>
  <si>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</si>
  <si>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</si>
  <si>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</si>
  <si>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</si>
  <si>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</si>
  <si>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</si>
  <si>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</si>
  <si>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</si>
  <si>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</si>
  <si>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</si>
  <si>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</si>
  <si>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</si>
  <si>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</si>
  <si>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</si>
  <si>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</si>
  <si>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</si>
  <si>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</si>
  <si>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</si>
  <si>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</si>
  <si>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</si>
  <si>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</si>
  <si>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</si>
  <si>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</si>
  <si>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</si>
  <si>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</si>
  <si>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</si>
  <si>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</si>
  <si>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</si>
  <si>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</si>
  <si>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</si>
  <si>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</si>
  <si>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</si>
  <si>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</si>
  <si>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</si>
  <si>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</si>
  <si>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</si>
  <si>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</si>
  <si>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</si>
  <si>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</si>
  <si>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</si>
  <si>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</si>
  <si>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</si>
  <si>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</si>
  <si>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</si>
  <si>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</si>
  <si>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</si>
  <si>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18/12/2025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</si>
</sst>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75</c:v>
                </c:pt>
                <c:pt idx="1">
                  <c:v>55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31</c:v>
                </c:pt>
                <c:pt idx="1">
                  <c:v>73</c:v>
                </c:pt>
                <c:pt idx="2">
                  <c:v>23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64</c:v>
                </c:pt>
                <c:pt idx="1">
                  <c:v>62</c:v>
                </c:pt>
                <c:pt idx="2">
                  <c:v>16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60</c:v>
                </c:pt>
                <c:pt idx="1">
                  <c:v>35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9</c:v>
                </c:pt>
                <c:pt idx="1">
                  <c:v>44</c:v>
                </c:pt>
                <c:pt idx="2">
                  <c:v>24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4"/>
  <sheetViews>
    <sheetView tabSelected="1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K42" sqref="K42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5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5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2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22</v>
      </c>
      <c r="D31" s="44">
        <v>6</v>
      </c>
      <c r="E31" s="44">
        <v>18</v>
      </c>
      <c r="F31" s="44" t="s">
        <v>6</v>
      </c>
      <c r="G31" s="44">
        <v>4</v>
      </c>
      <c r="H31" s="58" t="s">
        <v>6</v>
      </c>
      <c r="I31" s="38" t="s">
        <v>6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30</v>
      </c>
      <c r="R31" s="38">
        <v>10</v>
      </c>
      <c r="S31" s="38" t="s">
        <v>6</v>
      </c>
      <c r="T31" s="36">
        <v>2</v>
      </c>
      <c r="U31" s="37">
        <v>0</v>
      </c>
      <c r="V31" s="38">
        <v>27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140</v>
      </c>
    </row>
    <row r="32" spans="1:31" ht="19.2" x14ac:dyDescent="0.45">
      <c r="A32" s="2" t="s">
        <v>49</v>
      </c>
      <c r="B32" s="44" t="s">
        <v>6</v>
      </c>
      <c r="C32" s="44">
        <v>4</v>
      </c>
      <c r="D32" s="44">
        <v>23</v>
      </c>
      <c r="E32" s="44">
        <v>18</v>
      </c>
      <c r="F32" s="44">
        <v>1</v>
      </c>
      <c r="G32" s="44" t="s">
        <v>6</v>
      </c>
      <c r="H32" s="58">
        <v>0</v>
      </c>
      <c r="I32" s="38">
        <v>18</v>
      </c>
      <c r="J32" s="40" t="s">
        <v>6</v>
      </c>
      <c r="K32" s="36" t="s">
        <v>6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6</v>
      </c>
      <c r="R32" s="38" t="s">
        <v>6</v>
      </c>
      <c r="S32" s="38">
        <v>1</v>
      </c>
      <c r="T32" s="36">
        <v>2</v>
      </c>
      <c r="U32" s="37" t="s">
        <v>6</v>
      </c>
      <c r="V32" s="38">
        <v>5</v>
      </c>
      <c r="W32" s="40">
        <v>4</v>
      </c>
      <c r="X32" s="41">
        <v>28</v>
      </c>
      <c r="Y32" s="42" t="s">
        <v>6</v>
      </c>
      <c r="Z32" s="37"/>
      <c r="AA32" s="43">
        <v>18</v>
      </c>
      <c r="AB32" s="36" t="s">
        <v>6</v>
      </c>
      <c r="AC32" s="37" t="s">
        <v>6</v>
      </c>
      <c r="AD32" s="38" t="s">
        <v>6</v>
      </c>
      <c r="AE32" s="7">
        <f t="shared" si="1"/>
        <v>128</v>
      </c>
    </row>
    <row r="33" spans="1:31" ht="20.399999999999999" customHeight="1" x14ac:dyDescent="0.45">
      <c r="A33" s="24" t="s">
        <v>27</v>
      </c>
      <c r="B33" s="44" t="s">
        <v>6</v>
      </c>
      <c r="C33" s="44">
        <v>36</v>
      </c>
      <c r="D33" s="44">
        <v>16</v>
      </c>
      <c r="E33" s="44">
        <v>22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18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10</v>
      </c>
      <c r="R33" s="38">
        <v>11</v>
      </c>
      <c r="S33" s="38" t="s">
        <v>6</v>
      </c>
      <c r="T33" s="36" t="s">
        <v>6</v>
      </c>
      <c r="U33" s="37">
        <v>0</v>
      </c>
      <c r="V33" s="38">
        <v>29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142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23</v>
      </c>
      <c r="D40" s="44">
        <v>7</v>
      </c>
      <c r="E40" s="44">
        <v>5</v>
      </c>
      <c r="F40" s="44">
        <v>2</v>
      </c>
      <c r="G40" s="44" t="s">
        <v>6</v>
      </c>
      <c r="H40" s="58">
        <v>0</v>
      </c>
      <c r="I40" s="38">
        <v>18</v>
      </c>
      <c r="J40" s="40" t="s">
        <v>6</v>
      </c>
      <c r="K40" s="36" t="s">
        <v>6</v>
      </c>
      <c r="L40" s="37" t="s">
        <v>6</v>
      </c>
      <c r="M40" s="58" t="s">
        <v>6</v>
      </c>
      <c r="N40" s="38" t="s">
        <v>6</v>
      </c>
      <c r="O40" s="38">
        <v>5</v>
      </c>
      <c r="P40" s="36">
        <v>4</v>
      </c>
      <c r="Q40" s="42">
        <v>14</v>
      </c>
      <c r="R40" s="38">
        <v>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30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108</v>
      </c>
    </row>
    <row r="41" spans="1:31" ht="19.2" x14ac:dyDescent="0.45">
      <c r="A41" s="2" t="s">
        <v>35</v>
      </c>
      <c r="B41" s="44" t="s">
        <v>6</v>
      </c>
      <c r="C41" s="44">
        <v>2</v>
      </c>
      <c r="D41" s="44">
        <v>11</v>
      </c>
      <c r="E41" s="44">
        <v>14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30</v>
      </c>
      <c r="N41" s="38">
        <v>13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77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13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17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108</v>
      </c>
      <c r="D47" s="5">
        <f t="shared" si="2"/>
        <v>72</v>
      </c>
      <c r="E47" s="5">
        <f t="shared" si="2"/>
        <v>114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36</v>
      </c>
      <c r="J47" s="5">
        <f t="shared" si="2"/>
        <v>3</v>
      </c>
      <c r="K47" s="5">
        <f t="shared" si="2"/>
        <v>0</v>
      </c>
      <c r="L47" s="5">
        <f t="shared" si="2"/>
        <v>39</v>
      </c>
      <c r="M47" s="5">
        <f t="shared" si="2"/>
        <v>30</v>
      </c>
      <c r="N47" s="5">
        <f t="shared" si="2"/>
        <v>13</v>
      </c>
      <c r="O47" s="5">
        <f t="shared" si="2"/>
        <v>25</v>
      </c>
      <c r="P47" s="5">
        <f t="shared" si="2"/>
        <v>4</v>
      </c>
      <c r="Q47" s="5">
        <f t="shared" si="2"/>
        <v>62</v>
      </c>
      <c r="R47" s="5">
        <f t="shared" si="2"/>
        <v>21</v>
      </c>
      <c r="S47" s="5">
        <f t="shared" si="2"/>
        <v>1</v>
      </c>
      <c r="T47" s="5">
        <f t="shared" si="2"/>
        <v>4</v>
      </c>
      <c r="U47" s="5">
        <f t="shared" si="2"/>
        <v>0</v>
      </c>
      <c r="V47" s="5">
        <f t="shared" si="2"/>
        <v>62</v>
      </c>
      <c r="W47" s="5">
        <f t="shared" si="2"/>
        <v>4</v>
      </c>
      <c r="X47" s="5">
        <f t="shared" si="2"/>
        <v>58</v>
      </c>
      <c r="Y47" s="5">
        <f t="shared" si="2"/>
        <v>0</v>
      </c>
      <c r="Z47" s="5">
        <f t="shared" si="2"/>
        <v>0</v>
      </c>
      <c r="AA47" s="5">
        <f t="shared" si="2"/>
        <v>18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707</v>
      </c>
    </row>
    <row r="48" spans="1:31" ht="18.600000000000001" thickTop="1" x14ac:dyDescent="0.45"/>
    <row r="49" spans="4:31" x14ac:dyDescent="0.45">
      <c r="D49" s="9"/>
    </row>
    <row r="51" spans="4:31" ht="14.4" x14ac:dyDescent="0.3">
      <c r="AD51" s="80" t="s">
        <v>71</v>
      </c>
      <c r="AE51" s="81">
        <f>SUM(B29:AD46)</f>
        <v>644</v>
      </c>
    </row>
    <row r="52" spans="4:31" ht="14.4" x14ac:dyDescent="0.3">
      <c r="AD52" s="80" t="s">
        <v>72</v>
      </c>
      <c r="AE52" s="81">
        <f>SUM(B5:AD28)</f>
        <v>63</v>
      </c>
    </row>
    <row r="53" spans="4:31" ht="14.4" x14ac:dyDescent="0.3">
      <c r="AD53" s="82" t="s">
        <v>40</v>
      </c>
      <c r="AE53" s="83">
        <f>SUM(AE51:AE52)</f>
        <v>707</v>
      </c>
    </row>
    <row r="54" spans="4:31" ht="24" customHeight="1" x14ac:dyDescent="0.3">
      <c r="AE54"/>
    </row>
    <row r="55" spans="4:31" ht="44.25" customHeight="1" x14ac:dyDescent="0.3">
      <c r="AE55"/>
    </row>
    <row r="104" spans="14:15" x14ac:dyDescent="0.45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H23" sqref="H23:I23"/>
    </sheetView>
  </sheetViews>
  <sheetFormatPr defaultRowHeight="14.4" x14ac:dyDescent="0.3"/>
  <cols>
    <col min="1" max="1" width="25" bestFit="1" customWidth="1"/>
    <col min="2" max="4" width="9.44140625" style="10" bestFit="1" customWidth="1"/>
    <col min="5" max="5" width="10.33203125" style="10" customWidth="1"/>
  </cols>
  <sheetData>
    <row r="1" spans="1:5" ht="18" x14ac:dyDescent="0.35">
      <c r="A1" s="109">
        <v>46006</v>
      </c>
      <c r="B1" s="110"/>
      <c r="C1" s="110"/>
      <c r="D1" s="110"/>
      <c r="E1" s="110"/>
    </row>
    <row r="2" spans="1:5" ht="18" x14ac:dyDescent="0.3">
      <c r="A2" s="106" t="s">
        <v>67</v>
      </c>
      <c r="B2" s="107"/>
      <c r="C2" s="107"/>
      <c r="D2" s="107"/>
      <c r="E2" s="108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4</v>
      </c>
      <c r="D4" s="72">
        <v>1</v>
      </c>
      <c r="E4" s="74">
        <v>0</v>
      </c>
    </row>
    <row r="5" spans="1:5" x14ac:dyDescent="0.3">
      <c r="A5" s="68" t="s">
        <v>25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3">
      <c r="A6" s="67" t="s">
        <v>26</v>
      </c>
      <c r="B6" s="72">
        <f>'Summary SI, Rental &amp; Subcon'!C31+'Summary SI, Rental &amp; Subcon'!L31+'Summary SI, Rental &amp; Subcon'!Q31+'Summary SI, Rental &amp; Subcon'!T31</f>
        <v>75</v>
      </c>
      <c r="C6" s="72">
        <f>'Summary SI, Rental &amp; Subcon'!E31+'Summary SI, Rental &amp; Subcon'!R31+'Summary SI, Rental &amp; Subcon'!V31</f>
        <v>55</v>
      </c>
      <c r="D6" s="72">
        <f>'Summary SI, Rental &amp; Subcon'!D31+'Summary SI, Rental &amp; Subcon'!K31+'Summary SI, Rental &amp; Subcon'!P31+'Summary SI, Rental &amp; Subcon'!U31</f>
        <v>6</v>
      </c>
      <c r="E6" s="74">
        <f>'Summary SI, Rental &amp; Subcon'!G31</f>
        <v>4</v>
      </c>
    </row>
    <row r="7" spans="1:5" x14ac:dyDescent="0.3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31</v>
      </c>
      <c r="C7" s="73">
        <f>'Summary SI, Rental &amp; Subcon'!E32+'Summary SI, Rental &amp; Subcon'!V32+'Summary SI, Rental &amp; Subcon'!W32+'Summary SI, Rental &amp; Subcon'!X32+'Summary SI, Rental &amp; Subcon'!AA32</f>
        <v>73</v>
      </c>
      <c r="D7" s="73">
        <f>'Summary SI, Rental &amp; Subcon'!D32</f>
        <v>23</v>
      </c>
      <c r="E7" s="75">
        <v>1</v>
      </c>
    </row>
    <row r="8" spans="1:5" x14ac:dyDescent="0.3">
      <c r="A8" s="67" t="s">
        <v>27</v>
      </c>
      <c r="B8" s="72">
        <f>'Summary SI, Rental &amp; Subcon'!C33+'Summary SI, Rental &amp; Subcon'!L33+'Summary SI, Rental &amp; Subcon'!Q33</f>
        <v>64</v>
      </c>
      <c r="C8" s="72">
        <f>'Summary SI, Rental &amp; Subcon'!E33+'Summary SI, Rental &amp; Subcon'!R33+'Summary SI, Rental &amp; Subcon'!V33</f>
        <v>62</v>
      </c>
      <c r="D8" s="72">
        <f>'Summary SI, Rental &amp; Subcon'!D33+'Summary SI, Rental &amp; Subcon'!U33</f>
        <v>16</v>
      </c>
      <c r="E8" s="74" t="s">
        <v>6</v>
      </c>
    </row>
    <row r="9" spans="1:5" x14ac:dyDescent="0.3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3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3">
      <c r="A11" s="68" t="s">
        <v>30</v>
      </c>
      <c r="B11" s="73" t="s">
        <v>6</v>
      </c>
      <c r="C11" s="73" t="s">
        <v>6</v>
      </c>
      <c r="D11" s="73" t="s">
        <v>6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3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3">
      <c r="A14" s="67" t="s">
        <v>34</v>
      </c>
      <c r="B14" s="72">
        <f>'Summary SI, Rental &amp; Subcon'!C40+'Summary SI, Rental &amp; Subcon'!I40+'Summary SI, Rental &amp; Subcon'!O40+'Summary SI, Rental &amp; Subcon'!Q40</f>
        <v>60</v>
      </c>
      <c r="C14" s="72">
        <f>'Summary SI, Rental &amp; Subcon'!E40+'Summary SI, Rental &amp; Subcon'!R40+'Summary SI, Rental &amp; Subcon'!X40</f>
        <v>35</v>
      </c>
      <c r="D14" s="72">
        <f>'Summary SI, Rental &amp; Subcon'!D40+'Summary SI, Rental &amp; Subcon'!P40</f>
        <v>11</v>
      </c>
      <c r="E14" s="74">
        <v>2</v>
      </c>
    </row>
    <row r="15" spans="1:5" x14ac:dyDescent="0.3">
      <c r="A15" s="68" t="s">
        <v>35</v>
      </c>
      <c r="B15" s="73">
        <f>'Summary SI, Rental &amp; Subcon'!C41+'Summary SI, Rental &amp; Subcon'!O41</f>
        <v>9</v>
      </c>
      <c r="C15" s="73">
        <f>'Summary SI, Rental &amp; Subcon'!E41+'Summary SI, Rental &amp; Subcon'!M41</f>
        <v>44</v>
      </c>
      <c r="D15" s="73">
        <f>'Summary SI, Rental &amp; Subcon'!D41+'Summary SI, Rental &amp; Subcon'!N41</f>
        <v>24</v>
      </c>
      <c r="E15" s="75" t="s">
        <v>6</v>
      </c>
    </row>
    <row r="16" spans="1:5" x14ac:dyDescent="0.3">
      <c r="A16" s="67" t="s">
        <v>36</v>
      </c>
      <c r="B16" s="72" t="s">
        <v>6</v>
      </c>
      <c r="C16" s="72">
        <v>5</v>
      </c>
      <c r="D16" s="72" t="s">
        <v>6</v>
      </c>
      <c r="E16" s="74" t="s">
        <v>6</v>
      </c>
    </row>
    <row r="17" spans="1:5" x14ac:dyDescent="0.3">
      <c r="A17" s="67" t="s">
        <v>38</v>
      </c>
      <c r="B17" s="72" t="s">
        <v>6</v>
      </c>
      <c r="C17" s="72" t="s">
        <v>6</v>
      </c>
      <c r="D17" s="72">
        <v>1</v>
      </c>
      <c r="E17" s="74" t="s">
        <v>6</v>
      </c>
    </row>
    <row r="18" spans="1:5" x14ac:dyDescent="0.3">
      <c r="A18" s="68" t="s">
        <v>39</v>
      </c>
      <c r="B18" s="73">
        <v>13</v>
      </c>
      <c r="C18" s="73">
        <v>4</v>
      </c>
      <c r="D18" s="73" t="s">
        <v>6</v>
      </c>
      <c r="E18" s="75" t="s">
        <v>6</v>
      </c>
    </row>
    <row r="19" spans="1:5" x14ac:dyDescent="0.3">
      <c r="A19" s="67" t="s">
        <v>52</v>
      </c>
      <c r="B19" s="74" t="s">
        <v>6</v>
      </c>
      <c r="C19" s="74" t="s">
        <v>6</v>
      </c>
      <c r="D19" s="74" t="s">
        <v>6</v>
      </c>
      <c r="E19" s="74" t="s">
        <v>6</v>
      </c>
    </row>
    <row r="20" spans="1:5" ht="17.399999999999999" x14ac:dyDescent="0.3">
      <c r="C20" s="111" t="s">
        <v>0</v>
      </c>
      <c r="D20" s="111"/>
      <c r="E20" s="76">
        <f>SUM(Table35[[Villa]:[Laydown]])</f>
        <v>643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2025-12-20T08:23:04Z</dcterms:modified>
</cp:coreProperties>
</file>