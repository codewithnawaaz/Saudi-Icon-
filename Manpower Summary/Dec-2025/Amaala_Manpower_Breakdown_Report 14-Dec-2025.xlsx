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78BED109-E03B-4E44-A28A-1AFE45FB1467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20" i="2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<sst xmlns="http://schemas.openxmlformats.org/spreadsheetml/2006/main" count="1194" uniqueCount="72">
  <si>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</si>
  <si>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</si>
  <si>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</si>
  <si>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</si>
  <si>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</si>
  <si>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</si>
  <si>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</si>
  <si>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</si>
  <si>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</si>
  <si>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</si>
  <si>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</si>
  <si>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</si>
  <si>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</si>
  <si>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</si>
  <si>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</si>
  <si>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</si>
  <si>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</si>
  <si>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</si>
  <si>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</si>
  <si>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</si>
  <si>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</si>
  <si>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</si>
  <si>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</si>
  <si>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</si>
  <si>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</si>
  <si>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</si>
  <si>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</si>
  <si>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</si>
  <si>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</si>
  <si>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</si>
  <si>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</si>
  <si>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</si>
  <si>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</si>
  <si>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</si>
  <si>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</si>
  <si>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</si>
  <si>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</si>
  <si>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</si>
  <si>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</si>
  <si>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</si>
  <si>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</si>
  <si>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</si>
  <si>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</si>
  <si>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</si>
  <si>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</si>
  <si>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</si>
  <si>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</si>
  <si>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</si>
  <si>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</si>
  <si>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</si>
  <si>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</si>
  <si>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</si>
  <si>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</si>
  <si>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</si>
  <si>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</si>
  <si>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</si>
  <si>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</si>
  <si>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</si>
  <si>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</si>
  <si>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</si>
  <si>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</si>
  <si>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</si>
  <si>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</si>
  <si>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</si>
  <si>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</si>
  <si>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</si>
  <si>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</si>
  <si>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</si>
  <si>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</si>
  <si>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</si>
  <si>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</si>
  <si>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Amaala Project Manpower 14/12/2025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</si>
</sst>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40</c:v>
                </c:pt>
                <c:pt idx="1">
                  <c:v>43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18</c:v>
                </c:pt>
                <c:pt idx="1">
                  <c:v>53</c:v>
                </c:pt>
                <c:pt idx="2">
                  <c:v>25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58</c:v>
                </c:pt>
                <c:pt idx="1">
                  <c:v>53</c:v>
                </c:pt>
                <c:pt idx="2">
                  <c:v>29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42</c:v>
                </c:pt>
                <c:pt idx="1">
                  <c:v>26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8</c:v>
                </c:pt>
                <c:pt idx="1">
                  <c:v>31</c:v>
                </c:pt>
                <c:pt idx="2">
                  <c:v>18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104"/>
  <sheetViews>
    <sheetView tabSelected="1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A41" sqref="A41:XFD41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88" t="s">
        <v>71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5">
      <c r="A2" s="98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5">
      <c r="A3" s="64" t="s">
        <v>64</v>
      </c>
      <c r="B3" s="101" t="s">
        <v>63</v>
      </c>
      <c r="C3" s="101"/>
      <c r="D3" s="101"/>
      <c r="E3" s="101"/>
      <c r="F3" s="101"/>
      <c r="G3" s="101"/>
      <c r="H3" s="83" t="s">
        <v>51</v>
      </c>
      <c r="I3" s="84"/>
      <c r="J3" s="62" t="s">
        <v>47</v>
      </c>
      <c r="K3" s="91" t="s">
        <v>46</v>
      </c>
      <c r="L3" s="92"/>
      <c r="M3" s="93" t="s">
        <v>54</v>
      </c>
      <c r="N3" s="94"/>
      <c r="O3" s="66" t="s">
        <v>59</v>
      </c>
      <c r="P3" s="85" t="s">
        <v>48</v>
      </c>
      <c r="Q3" s="90"/>
      <c r="R3" s="87"/>
      <c r="S3" s="60" t="s">
        <v>61</v>
      </c>
      <c r="T3" s="95" t="s">
        <v>60</v>
      </c>
      <c r="U3" s="96"/>
      <c r="V3" s="97"/>
      <c r="W3" s="61" t="s">
        <v>62</v>
      </c>
      <c r="X3" s="85" t="s">
        <v>41</v>
      </c>
      <c r="Y3" s="90"/>
      <c r="Z3" s="90"/>
      <c r="AA3" s="61" t="s">
        <v>69</v>
      </c>
      <c r="AB3" s="85" t="s">
        <v>45</v>
      </c>
      <c r="AC3" s="86"/>
      <c r="AD3" s="87"/>
      <c r="AE3" s="81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2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2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2</v>
      </c>
      <c r="D23" s="39">
        <v>1</v>
      </c>
      <c r="E23" s="39">
        <v>2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19</v>
      </c>
      <c r="D31" s="44">
        <v>9</v>
      </c>
      <c r="E31" s="44">
        <v>20</v>
      </c>
      <c r="F31" s="44"/>
      <c r="G31" s="44">
        <v>4</v>
      </c>
      <c r="H31" s="58" t="s">
        <v>6</v>
      </c>
      <c r="I31" s="38" t="s">
        <v>6</v>
      </c>
      <c r="J31" s="40" t="s">
        <v>6</v>
      </c>
      <c r="K31" s="36">
        <v>0</v>
      </c>
      <c r="L31" s="37">
        <v>19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0</v>
      </c>
      <c r="R31" s="38">
        <v>0</v>
      </c>
      <c r="S31" s="38" t="s">
        <v>6</v>
      </c>
      <c r="T31" s="36">
        <v>2</v>
      </c>
      <c r="U31" s="37">
        <v>0</v>
      </c>
      <c r="V31" s="38">
        <v>23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96</v>
      </c>
    </row>
    <row r="32" spans="1:31" ht="19.2" x14ac:dyDescent="0.45">
      <c r="A32" s="2" t="s">
        <v>49</v>
      </c>
      <c r="B32" s="44" t="s">
        <v>6</v>
      </c>
      <c r="C32" s="44">
        <v>6</v>
      </c>
      <c r="D32" s="44">
        <v>25</v>
      </c>
      <c r="E32" s="44">
        <v>18</v>
      </c>
      <c r="F32" s="44">
        <v>1</v>
      </c>
      <c r="G32" s="44" t="s">
        <v>6</v>
      </c>
      <c r="H32" s="58">
        <v>0</v>
      </c>
      <c r="I32" s="38">
        <v>10</v>
      </c>
      <c r="J32" s="40" t="s">
        <v>6</v>
      </c>
      <c r="K32" s="36" t="s">
        <v>6</v>
      </c>
      <c r="L32" s="37" t="s">
        <v>6</v>
      </c>
      <c r="M32" s="58" t="s">
        <v>6</v>
      </c>
      <c r="N32" s="38" t="s">
        <v>6</v>
      </c>
      <c r="O32" s="38" t="s">
        <v>6</v>
      </c>
      <c r="P32" s="36" t="s">
        <v>6</v>
      </c>
      <c r="Q32" s="42" t="s">
        <v>6</v>
      </c>
      <c r="R32" s="38" t="s">
        <v>6</v>
      </c>
      <c r="S32" s="38">
        <v>1</v>
      </c>
      <c r="T32" s="36">
        <v>1</v>
      </c>
      <c r="U32" s="37" t="s">
        <v>6</v>
      </c>
      <c r="V32" s="38" t="s">
        <v>6</v>
      </c>
      <c r="W32" s="40">
        <v>4</v>
      </c>
      <c r="X32" s="41">
        <v>18</v>
      </c>
      <c r="Y32" s="42" t="s">
        <v>6</v>
      </c>
      <c r="Z32" s="37"/>
      <c r="AA32" s="43">
        <v>13</v>
      </c>
      <c r="AB32" s="36" t="s">
        <v>6</v>
      </c>
      <c r="AC32" s="37" t="s">
        <v>6</v>
      </c>
      <c r="AD32" s="38" t="s">
        <v>6</v>
      </c>
      <c r="AE32" s="7">
        <f t="shared" si="1"/>
        <v>97</v>
      </c>
    </row>
    <row r="33" spans="1:31" ht="20.399999999999999" customHeight="1" x14ac:dyDescent="0.45">
      <c r="A33" s="24" t="s">
        <v>27</v>
      </c>
      <c r="B33" s="44" t="s">
        <v>6</v>
      </c>
      <c r="C33" s="44">
        <v>31</v>
      </c>
      <c r="D33" s="44">
        <v>28</v>
      </c>
      <c r="E33" s="44">
        <v>24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27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0</v>
      </c>
      <c r="R33" s="38">
        <v>0</v>
      </c>
      <c r="S33" s="38" t="s">
        <v>6</v>
      </c>
      <c r="T33" s="36" t="s">
        <v>6</v>
      </c>
      <c r="U33" s="37">
        <v>1</v>
      </c>
      <c r="V33" s="38">
        <v>29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140</v>
      </c>
    </row>
    <row r="34" spans="1:31" ht="19.2" x14ac:dyDescent="0.45">
      <c r="A34" s="2" t="s">
        <v>28</v>
      </c>
      <c r="B34" s="44" t="s">
        <v>6</v>
      </c>
      <c r="C34" s="44">
        <v>4</v>
      </c>
      <c r="D34" s="44" t="s">
        <v>6</v>
      </c>
      <c r="E34" s="44">
        <v>3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25</v>
      </c>
      <c r="D40" s="44">
        <v>6</v>
      </c>
      <c r="E40" s="44">
        <v>9</v>
      </c>
      <c r="F40" s="44">
        <v>2</v>
      </c>
      <c r="G40" s="44" t="s">
        <v>6</v>
      </c>
      <c r="H40" s="58">
        <v>0</v>
      </c>
      <c r="I40" s="38">
        <v>10</v>
      </c>
      <c r="J40" s="40" t="s">
        <v>6</v>
      </c>
      <c r="K40" s="36" t="s">
        <v>6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0</v>
      </c>
      <c r="Q40" s="42">
        <v>0</v>
      </c>
      <c r="R40" s="38">
        <v>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17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76</v>
      </c>
    </row>
    <row r="41" spans="1:31" ht="19.2" x14ac:dyDescent="0.45">
      <c r="A41" s="2" t="s">
        <v>35</v>
      </c>
      <c r="B41" s="44" t="s">
        <v>6</v>
      </c>
      <c r="C41" s="44">
        <v>3</v>
      </c>
      <c r="D41" s="44">
        <v>8</v>
      </c>
      <c r="E41" s="44">
        <v>14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17</v>
      </c>
      <c r="N41" s="38">
        <v>10</v>
      </c>
      <c r="O41" s="38">
        <v>5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57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6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0</v>
      </c>
      <c r="AE45" s="7">
        <f t="shared" si="1"/>
        <v>6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106</v>
      </c>
      <c r="D47" s="5">
        <f t="shared" si="2"/>
        <v>85</v>
      </c>
      <c r="E47" s="5">
        <f t="shared" si="2"/>
        <v>120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20</v>
      </c>
      <c r="J47" s="5">
        <f t="shared" si="2"/>
        <v>3</v>
      </c>
      <c r="K47" s="5">
        <f t="shared" si="2"/>
        <v>0</v>
      </c>
      <c r="L47" s="5">
        <f t="shared" si="2"/>
        <v>46</v>
      </c>
      <c r="M47" s="5">
        <f t="shared" si="2"/>
        <v>17</v>
      </c>
      <c r="N47" s="5">
        <f t="shared" si="2"/>
        <v>10</v>
      </c>
      <c r="O47" s="5">
        <f t="shared" si="2"/>
        <v>18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1</v>
      </c>
      <c r="T47" s="5">
        <f t="shared" si="2"/>
        <v>3</v>
      </c>
      <c r="U47" s="5">
        <f t="shared" si="2"/>
        <v>1</v>
      </c>
      <c r="V47" s="5">
        <f t="shared" si="2"/>
        <v>53</v>
      </c>
      <c r="W47" s="5">
        <f t="shared" si="2"/>
        <v>4</v>
      </c>
      <c r="X47" s="5">
        <f t="shared" si="2"/>
        <v>35</v>
      </c>
      <c r="Y47" s="5">
        <f t="shared" si="2"/>
        <v>0</v>
      </c>
      <c r="Z47" s="5">
        <f t="shared" si="2"/>
        <v>0</v>
      </c>
      <c r="AA47" s="5">
        <f t="shared" si="2"/>
        <v>13</v>
      </c>
      <c r="AB47" s="5">
        <f t="shared" si="2"/>
        <v>0</v>
      </c>
      <c r="AC47" s="5">
        <f t="shared" si="2"/>
        <v>0</v>
      </c>
      <c r="AD47" s="5">
        <f>SUM(AD5:AD46)</f>
        <v>0</v>
      </c>
      <c r="AE47" s="17">
        <f t="shared" si="1"/>
        <v>564</v>
      </c>
    </row>
    <row r="48" spans="1:31" ht="18.600000000000001" thickTop="1" x14ac:dyDescent="0.45"/>
    <row r="49" spans="4:31" x14ac:dyDescent="0.45">
      <c r="D49" s="9"/>
    </row>
    <row r="51" spans="4:31" ht="14.4" x14ac:dyDescent="0.3">
      <c r="AE51"/>
    </row>
    <row r="52" spans="4:31" ht="14.4" x14ac:dyDescent="0.3">
      <c r="AE52"/>
    </row>
    <row r="53" spans="4:31" ht="14.4" x14ac:dyDescent="0.3">
      <c r="AE53"/>
    </row>
    <row r="54" spans="4:31" ht="24" customHeight="1" x14ac:dyDescent="0.3">
      <c r="AE54"/>
    </row>
    <row r="55" spans="4:31" ht="44.25" customHeight="1" x14ac:dyDescent="0.3">
      <c r="AE55"/>
    </row>
    <row r="104" spans="14:15" x14ac:dyDescent="0.45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dimension ref="A1:E20"/>
  <sheetViews>
    <sheetView workbookViewId="0">
      <selection activeCell="D18" sqref="D18"/>
    </sheetView>
  </sheetViews>
  <sheetFormatPr defaultRowHeight="14.4" x14ac:dyDescent="0.3"/>
  <cols>
    <col min="1" max="1" width="25" bestFit="1" customWidth="1"/>
    <col min="2" max="5" width="9.109375" style="10"/>
  </cols>
  <sheetData>
    <row r="1" spans="1:5" ht="18" x14ac:dyDescent="0.35">
      <c r="A1" s="105">
        <v>46004</v>
      </c>
      <c r="B1" s="106"/>
      <c r="C1" s="106"/>
      <c r="D1" s="106"/>
      <c r="E1" s="106"/>
    </row>
    <row r="2" spans="1:5" ht="18" x14ac:dyDescent="0.3">
      <c r="A2" s="102" t="s">
        <v>67</v>
      </c>
      <c r="B2" s="103"/>
      <c r="C2" s="103"/>
      <c r="D2" s="103"/>
      <c r="E2" s="104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4</v>
      </c>
      <c r="D4" s="72">
        <v>1</v>
      </c>
      <c r="E4" s="74">
        <v>0</v>
      </c>
    </row>
    <row r="5" spans="1:5" x14ac:dyDescent="0.3">
      <c r="A5" s="68" t="s">
        <v>25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3">
      <c r="A6" s="67" t="s">
        <v>26</v>
      </c>
      <c r="B6" s="72">
        <v>40</v>
      </c>
      <c r="C6" s="72">
        <v>43</v>
      </c>
      <c r="D6" s="72">
        <v>9</v>
      </c>
      <c r="E6" s="74">
        <v>4</v>
      </c>
    </row>
    <row r="7" spans="1:5" x14ac:dyDescent="0.3">
      <c r="A7" s="68" t="s">
        <v>49</v>
      </c>
      <c r="B7" s="73">
        <v>18</v>
      </c>
      <c r="C7" s="73">
        <v>53</v>
      </c>
      <c r="D7" s="73">
        <v>25</v>
      </c>
      <c r="E7" s="75">
        <v>1</v>
      </c>
    </row>
    <row r="8" spans="1:5" x14ac:dyDescent="0.3">
      <c r="A8" s="67" t="s">
        <v>27</v>
      </c>
      <c r="B8" s="72">
        <v>58</v>
      </c>
      <c r="C8" s="72">
        <v>53</v>
      </c>
      <c r="D8" s="72">
        <v>29</v>
      </c>
      <c r="E8" s="74">
        <v>0</v>
      </c>
    </row>
    <row r="9" spans="1:5" x14ac:dyDescent="0.3">
      <c r="A9" s="68" t="s">
        <v>28</v>
      </c>
      <c r="B9" s="73">
        <v>3</v>
      </c>
      <c r="C9" s="73">
        <v>4</v>
      </c>
      <c r="D9" s="73">
        <v>0</v>
      </c>
      <c r="E9" s="75">
        <v>0</v>
      </c>
    </row>
    <row r="10" spans="1:5" x14ac:dyDescent="0.3">
      <c r="A10" s="67" t="s">
        <v>29</v>
      </c>
      <c r="B10" s="72">
        <v>1</v>
      </c>
      <c r="C10" s="72">
        <v>0</v>
      </c>
      <c r="D10" s="72">
        <v>1</v>
      </c>
      <c r="E10" s="74">
        <v>0</v>
      </c>
    </row>
    <row r="11" spans="1:5" x14ac:dyDescent="0.3">
      <c r="A11" s="68" t="s">
        <v>30</v>
      </c>
      <c r="B11" s="73">
        <v>0</v>
      </c>
      <c r="C11" s="73">
        <v>0</v>
      </c>
      <c r="D11" s="73">
        <v>0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>
        <v>0</v>
      </c>
      <c r="E12" s="74">
        <v>0</v>
      </c>
    </row>
    <row r="13" spans="1:5" x14ac:dyDescent="0.3">
      <c r="A13" s="68" t="s">
        <v>33</v>
      </c>
      <c r="B13" s="73">
        <v>2</v>
      </c>
      <c r="C13" s="73">
        <v>1</v>
      </c>
      <c r="D13" s="73">
        <v>1</v>
      </c>
      <c r="E13" s="75">
        <v>0</v>
      </c>
    </row>
    <row r="14" spans="1:5" x14ac:dyDescent="0.3">
      <c r="A14" s="67" t="s">
        <v>34</v>
      </c>
      <c r="B14" s="72">
        <v>42</v>
      </c>
      <c r="C14" s="72">
        <v>26</v>
      </c>
      <c r="D14" s="72">
        <v>6</v>
      </c>
      <c r="E14" s="74">
        <v>2</v>
      </c>
    </row>
    <row r="15" spans="1:5" x14ac:dyDescent="0.3">
      <c r="A15" s="68" t="s">
        <v>35</v>
      </c>
      <c r="B15" s="73">
        <v>8</v>
      </c>
      <c r="C15" s="73">
        <v>31</v>
      </c>
      <c r="D15" s="73">
        <v>18</v>
      </c>
      <c r="E15" s="75">
        <v>0</v>
      </c>
    </row>
    <row r="16" spans="1:5" x14ac:dyDescent="0.3">
      <c r="A16" s="67" t="s">
        <v>36</v>
      </c>
      <c r="B16" s="72">
        <v>0</v>
      </c>
      <c r="C16" s="72">
        <v>5</v>
      </c>
      <c r="D16" s="72">
        <v>0</v>
      </c>
      <c r="E16" s="74">
        <v>0</v>
      </c>
    </row>
    <row r="17" spans="1:5" x14ac:dyDescent="0.3">
      <c r="A17" s="67" t="s">
        <v>38</v>
      </c>
      <c r="B17" s="72">
        <v>0</v>
      </c>
      <c r="C17" s="72">
        <v>0</v>
      </c>
      <c r="D17" s="72">
        <v>2</v>
      </c>
      <c r="E17" s="74">
        <v>0</v>
      </c>
    </row>
    <row r="18" spans="1:5" x14ac:dyDescent="0.3">
      <c r="A18" s="68" t="s">
        <v>39</v>
      </c>
      <c r="B18" s="73">
        <v>6</v>
      </c>
      <c r="C18" s="73">
        <v>0</v>
      </c>
      <c r="D18" s="73">
        <v>0</v>
      </c>
      <c r="E18" s="75">
        <v>0</v>
      </c>
    </row>
    <row r="19" spans="1:5" x14ac:dyDescent="0.3">
      <c r="A19" s="67" t="s">
        <v>52</v>
      </c>
      <c r="B19" s="72">
        <v>0</v>
      </c>
      <c r="C19" s="72">
        <v>0</v>
      </c>
      <c r="D19" s="72">
        <v>0</v>
      </c>
      <c r="E19" s="74">
        <v>0</v>
      </c>
    </row>
    <row r="20" spans="1:5" ht="17.399999999999999" x14ac:dyDescent="0.3">
      <c r="C20" s="107" t="s">
        <v>0</v>
      </c>
      <c r="D20" s="107"/>
      <c r="E20" s="76">
        <f>SUM(Table35[[Villa]:[Laydown]])</f>
        <v>504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2025-12-14T06:25:09Z</dcterms:modified>
</cp:coreProperties>
</file>