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Dec-2025\"/>
    </mc:Choice>
  </mc:AlternateContent>
  <xr:revisionPtr revIDLastSave="0" documentId="13_ncr:1_{4E0BAD79-0012-4B5F-800E-49F304059D67}" xr6:coauthVersionLast="47" xr6:coauthVersionMax="47" xr10:uidLastSave="{00000000-0000-0000-0000-000000000000}"/>
  <bookViews>
    <workbookView xWindow="28680" yWindow="-120" windowWidth="29040" windowHeight="15720" xr2:uid="{77A8D5EF-A4BA-414D-AB7A-C435597F5D7C}"/>
  </bookViews>
  <sheets>
    <sheet name="Summary SI, Rental &amp; Subco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2" l="1"/>
  <c r="C15" i="2"/>
  <c r="B15" i="2"/>
  <c r="D14" i="2"/>
  <c r="C14" i="2"/>
  <c r="B14" i="2"/>
  <c r="D8" i="2"/>
  <c r="C8" i="2"/>
  <c r="B8" i="2"/>
  <c r="D7" i="2"/>
  <c r="C7" i="2"/>
  <c r="B7" i="2"/>
  <c r="C6" i="2"/>
  <c r="B6" i="2"/>
  <c r="AE52" i="1"/>
  <c r="AE51" i="1"/>
  <c r="AE53" i="1" l="1"/>
  <c r="E20" i="2"/>
  <c r="AD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C47" i="1" l="1"/>
  <c r="AE7" i="1"/>
  <c r="AE6" i="1"/>
  <c r="AE4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5" i="1"/>
  <c r="B47" i="1"/>
  <c r="AE47" i="1" l="1"/>
</calcChain>
</file>

<file path=xl/sharedStrings.xml><?xml version="1.0" encoding="utf-8"?>
<sst xmlns="http://schemas.openxmlformats.org/spreadsheetml/2006/main" count="1214" uniqueCount="74">
  <si>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</si>
  <si>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</si>
  <si>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</si>
  <si>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</si>
  <si>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</si>
  <si>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</si>
  <si>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</si>
  <si>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</si>
  <si>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</si>
  <si>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</si>
  <si>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</si>
  <si>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</si>
  <si>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</si>
  <si>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</si>
  <si>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</si>
  <si>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</si>
  <si>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</si>
  <si>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</si>
  <si>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</si>
  <si>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</si>
  <si>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</si>
  <si>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</si>
  <si>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</si>
  <si>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</si>
  <si>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</si>
  <si>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</si>
  <si>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</si>
  <si>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</si>
  <si>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</si>
  <si>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</si>
  <si>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</si>
  <si>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</si>
  <si>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</si>
  <si>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</si>
  <si>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</si>
  <si>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</si>
  <si>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</si>
  <si>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</si>
  <si>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</si>
  <si>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</si>
  <si>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</si>
  <si>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</si>
  <si>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</si>
  <si>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</si>
  <si>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</si>
  <si>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</si>
  <si>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</si>
  <si>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</si>
  <si>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</si>
  <si>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</si>
  <si>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</si>
  <si>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</si>
  <si>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</si>
  <si>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</si>
  <si>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</si>
  <si>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</si>
  <si>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>Construction Manager</t>
  </si>
  <si>
    <t xml:space="preserve">Painter Forman </t>
  </si>
  <si>
    <t xml:space="preserve">Carpenter Forman </t>
  </si>
  <si>
    <t>Rekab</t>
  </si>
  <si>
    <t>BOLD</t>
  </si>
  <si>
    <t>Wakil</t>
  </si>
  <si>
    <t>Tarzou</t>
  </si>
  <si>
    <t xml:space="preserve">Saudi Icon </t>
  </si>
  <si>
    <t>Compnay :-</t>
  </si>
  <si>
    <t>Position</t>
  </si>
  <si>
    <t>Gypsum  - Team Leader</t>
  </si>
  <si>
    <t xml:space="preserve">Direct Manpoer </t>
  </si>
  <si>
    <t>Laydown</t>
  </si>
  <si>
    <t xml:space="preserve">Abu Umar </t>
  </si>
  <si>
    <t xml:space="preserve">Saudi Icon &amp; Rental </t>
  </si>
  <si>
    <t>Direct</t>
  </si>
  <si>
    <t>Indirect</t>
  </si>
  <si>
    <t>Amaala Project Manpower 20/12/2025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</si>
</sst>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  <font>
      <i/>
      <sz val="14"/>
      <color theme="0"/>
      <name val="Arial"/>
      <family val="2"/>
    </font>
    <font>
      <b/>
      <sz val="12"/>
      <color theme="0"/>
      <name val="Arial Narrow"/>
      <family val="2"/>
    </font>
    <font>
      <b/>
      <i/>
      <sz val="14"/>
      <color theme="1"/>
      <name val="Calibri"/>
      <family val="2"/>
      <scheme val="minor"/>
    </font>
    <font>
      <sz val="14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12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3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47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5" xfId="0" applyFont="1" applyFill="1" applyBorder="1" applyAlignment="1">
      <alignment horizontal="center"/>
    </xf>
    <xf numFmtId="0" fontId="17" fillId="8" borderId="48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7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7" fillId="8" borderId="32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left"/>
    </xf>
    <xf numFmtId="0" fontId="19" fillId="5" borderId="59" xfId="0" applyFont="1" applyFill="1" applyBorder="1" applyAlignment="1">
      <alignment horizontal="left"/>
    </xf>
    <xf numFmtId="0" fontId="21" fillId="13" borderId="60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2" borderId="6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/>
    </xf>
    <xf numFmtId="0" fontId="19" fillId="5" borderId="12" xfId="0" applyFont="1" applyFill="1" applyBorder="1" applyAlignment="1">
      <alignment horizontal="center"/>
    </xf>
    <xf numFmtId="0" fontId="19" fillId="0" borderId="58" xfId="0" applyFont="1" applyBorder="1" applyAlignment="1">
      <alignment horizontal="center"/>
    </xf>
    <xf numFmtId="0" fontId="19" fillId="5" borderId="58" xfId="0" applyFont="1" applyFill="1" applyBorder="1" applyAlignment="1">
      <alignment horizontal="center"/>
    </xf>
    <xf numFmtId="0" fontId="23" fillId="15" borderId="0" xfId="0" applyFont="1" applyFill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6" borderId="0" xfId="0" applyFont="1" applyFill="1"/>
    <xf numFmtId="0" fontId="19" fillId="16" borderId="0" xfId="0" applyFont="1" applyFill="1" applyAlignment="1">
      <alignment horizontal="center"/>
    </xf>
    <xf numFmtId="0" fontId="19" fillId="17" borderId="0" xfId="0" applyFont="1" applyFill="1"/>
    <xf numFmtId="0" fontId="19" fillId="17" borderId="0" xfId="0" applyFont="1" applyFill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20" fillId="14" borderId="58" xfId="0" applyFont="1" applyFill="1" applyBorder="1" applyAlignment="1">
      <alignment horizontal="center" vertical="center"/>
    </xf>
    <xf numFmtId="0" fontId="20" fillId="14" borderId="20" xfId="0" applyFont="1" applyFill="1" applyBorder="1" applyAlignment="1">
      <alignment horizontal="center" vertical="center"/>
    </xf>
    <xf numFmtId="0" fontId="20" fillId="14" borderId="59" xfId="0" applyFont="1" applyFill="1" applyBorder="1" applyAlignment="1">
      <alignment horizontal="center" vertical="center"/>
    </xf>
    <xf numFmtId="15" fontId="22" fillId="0" borderId="12" xfId="0" applyNumberFormat="1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15" borderId="47" xfId="0" applyFont="1" applyFill="1" applyBorder="1" applyAlignment="1">
      <alignment horizontal="center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10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Gypsum  - Team Leader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D39-BFC6-2B99A8AC1C3F}"/>
            </c:ext>
          </c:extLst>
        </c:ser>
        <c:ser>
          <c:idx val="1"/>
          <c:order val="1"/>
          <c:tx>
            <c:strRef>
              <c:f>Summary!$A$5</c:f>
              <c:strCache>
                <c:ptCount val="1"/>
                <c:pt idx="0">
                  <c:v>Mason - Tiler Tiler Leader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D39-BFC6-2B99A8AC1C3F}"/>
            </c:ext>
          </c:extLst>
        </c:ser>
        <c:ser>
          <c:idx val="2"/>
          <c:order val="2"/>
          <c:tx>
            <c:strRef>
              <c:f>Summary!$A$6</c:f>
              <c:strCache>
                <c:ptCount val="1"/>
                <c:pt idx="0">
                  <c:v>Gypsum Installer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72</c:v>
                </c:pt>
                <c:pt idx="1">
                  <c:v>52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D39-BFC6-2B99A8AC1C3F}"/>
            </c:ext>
          </c:extLst>
        </c:ser>
        <c:ser>
          <c:idx val="3"/>
          <c:order val="3"/>
          <c:tx>
            <c:strRef>
              <c:f>Summary!$A$7</c:f>
              <c:strCache>
                <c:ptCount val="1"/>
                <c:pt idx="0">
                  <c:v>Mason - Tiler/Mason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28</c:v>
                </c:pt>
                <c:pt idx="1">
                  <c:v>67</c:v>
                </c:pt>
                <c:pt idx="2">
                  <c:v>24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AB-4D39-BFC6-2B99A8AC1C3F}"/>
            </c:ext>
          </c:extLst>
        </c:ser>
        <c:ser>
          <c:idx val="4"/>
          <c:order val="4"/>
          <c:tx>
            <c:strRef>
              <c:f>Summary!$A$8</c:f>
              <c:strCache>
                <c:ptCount val="1"/>
                <c:pt idx="0">
                  <c:v>Painter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Summary!$B$8:$E$8</c:f>
              <c:numCache>
                <c:formatCode>General</c:formatCode>
                <c:ptCount val="4"/>
                <c:pt idx="0">
                  <c:v>65</c:v>
                </c:pt>
                <c:pt idx="1">
                  <c:v>69</c:v>
                </c:pt>
                <c:pt idx="2">
                  <c:v>13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AB-4D39-BFC6-2B99A8AC1C3F}"/>
            </c:ext>
          </c:extLst>
        </c:ser>
        <c:ser>
          <c:idx val="5"/>
          <c:order val="5"/>
          <c:tx>
            <c:strRef>
              <c:f>Summary!$A$9</c:f>
              <c:strCache>
                <c:ptCount val="1"/>
                <c:pt idx="0">
                  <c:v>Scaffolder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Summary!$B$9:$E$9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AB-4D39-BFC6-2B99A8AC1C3F}"/>
            </c:ext>
          </c:extLst>
        </c:ser>
        <c:ser>
          <c:idx val="6"/>
          <c:order val="6"/>
          <c:tx>
            <c:strRef>
              <c:f>Summary!$A$10</c:f>
              <c:strCache>
                <c:ptCount val="1"/>
                <c:pt idx="0">
                  <c:v>Electrician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Summary!$B$10:$E$10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AB-4D39-BFC6-2B99A8AC1C3F}"/>
            </c:ext>
          </c:extLst>
        </c:ser>
        <c:ser>
          <c:idx val="7"/>
          <c:order val="7"/>
          <c:tx>
            <c:strRef>
              <c:f>Summary!$A$11</c:f>
              <c:strCache>
                <c:ptCount val="1"/>
                <c:pt idx="0">
                  <c:v>Rigger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Summary!$B$11:$E$11</c:f>
              <c:numCache>
                <c:formatCode>General</c:formatCode>
                <c:ptCount val="4"/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AB-4D39-BFC6-2B99A8AC1C3F}"/>
            </c:ext>
          </c:extLst>
        </c:ser>
        <c:ser>
          <c:idx val="8"/>
          <c:order val="8"/>
          <c:tx>
            <c:strRef>
              <c:f>Summary!$A$12</c:f>
              <c:strCache>
                <c:ptCount val="1"/>
                <c:pt idx="0">
                  <c:v>Helper - Surveyor Asst.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Summary!$B$12:$E$12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AB-4D39-BFC6-2B99A8AC1C3F}"/>
            </c:ext>
          </c:extLst>
        </c:ser>
        <c:ser>
          <c:idx val="9"/>
          <c:order val="9"/>
          <c:tx>
            <c:strRef>
              <c:f>Summary!$A$13</c:f>
              <c:strCache>
                <c:ptCount val="1"/>
                <c:pt idx="0">
                  <c:v>Asst. Storekeeper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Summary!$B$13:$E$13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AB-4D39-BFC6-2B99A8AC1C3F}"/>
            </c:ext>
          </c:extLst>
        </c:ser>
        <c:ser>
          <c:idx val="10"/>
          <c:order val="10"/>
          <c:tx>
            <c:strRef>
              <c:f>Summary!$A$14</c:f>
              <c:strCache>
                <c:ptCount val="1"/>
                <c:pt idx="0">
                  <c:v>Helper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Summary!$B$14:$E$14</c:f>
              <c:numCache>
                <c:formatCode>General</c:formatCode>
                <c:ptCount val="4"/>
                <c:pt idx="0">
                  <c:v>62</c:v>
                </c:pt>
                <c:pt idx="1">
                  <c:v>64</c:v>
                </c:pt>
                <c:pt idx="2">
                  <c:v>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AB-4D39-BFC6-2B99A8AC1C3F}"/>
            </c:ext>
          </c:extLst>
        </c:ser>
        <c:ser>
          <c:idx val="11"/>
          <c:order val="11"/>
          <c:tx>
            <c:strRef>
              <c:f>Summary!$A$15</c:f>
              <c:strCache>
                <c:ptCount val="1"/>
                <c:pt idx="0">
                  <c:v>Carpenter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Summary!$B$15:$E$15</c:f>
              <c:numCache>
                <c:formatCode>General</c:formatCode>
                <c:ptCount val="4"/>
                <c:pt idx="0">
                  <c:v>16</c:v>
                </c:pt>
                <c:pt idx="1">
                  <c:v>31</c:v>
                </c:pt>
                <c:pt idx="2">
                  <c:v>17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AB-4D39-BFC6-2B99A8AC1C3F}"/>
            </c:ext>
          </c:extLst>
        </c:ser>
        <c:ser>
          <c:idx val="12"/>
          <c:order val="12"/>
          <c:tx>
            <c:strRef>
              <c:f>Summary!$A$16</c:f>
              <c:strCache>
                <c:ptCount val="1"/>
                <c:pt idx="0">
                  <c:v>Welder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Summary!$B$16:$E$16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BAB-4D39-BFC6-2B99A8AC1C3F}"/>
            </c:ext>
          </c:extLst>
        </c:ser>
        <c:ser>
          <c:idx val="13"/>
          <c:order val="13"/>
          <c:tx>
            <c:strRef>
              <c:f>Summary!$A$17</c:f>
              <c:strCache>
                <c:ptCount val="1"/>
                <c:pt idx="0">
                  <c:v>Gateman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Summary!$B$17:$E$17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BAB-4D39-BFC6-2B99A8AC1C3F}"/>
            </c:ext>
          </c:extLst>
        </c:ser>
        <c:ser>
          <c:idx val="14"/>
          <c:order val="14"/>
          <c:tx>
            <c:strRef>
              <c:f>Summary!$A$18</c:f>
              <c:strCache>
                <c:ptCount val="1"/>
                <c:pt idx="0">
                  <c:v>Polishing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Summary!$B$18:$E$18</c:f>
              <c:numCache>
                <c:formatCode>General</c:formatCode>
                <c:ptCount val="4"/>
                <c:pt idx="0">
                  <c:v>13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BAB-4D39-BFC6-2B99A8AC1C3F}"/>
            </c:ext>
          </c:extLst>
        </c:ser>
        <c:ser>
          <c:idx val="15"/>
          <c:order val="15"/>
          <c:tx>
            <c:strRef>
              <c:f>Summary!$A$19</c:f>
              <c:strCache>
                <c:ptCount val="1"/>
                <c:pt idx="0">
                  <c:v>Glass Fabricator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Summary!$B$3:$E$3</c:f>
              <c:strCache>
                <c:ptCount val="4"/>
                <c:pt idx="0">
                  <c:v>Villa</c:v>
                </c:pt>
                <c:pt idx="1">
                  <c:v>B3</c:v>
                </c:pt>
                <c:pt idx="2">
                  <c:v>B2</c:v>
                </c:pt>
                <c:pt idx="3">
                  <c:v>Laydown</c:v>
                </c:pt>
              </c:strCache>
            </c:strRef>
          </c:cat>
          <c:val>
            <c:numRef>
              <c:f>Summary!$B$19:$E$19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BAB-4D39-BFC6-2B99A8AC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6391919"/>
        <c:axId val="1666385679"/>
      </c:barChart>
      <c:catAx>
        <c:axId val="16663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85679"/>
        <c:crosses val="autoZero"/>
        <c:auto val="1"/>
        <c:lblAlgn val="ctr"/>
        <c:lblOffset val="100"/>
        <c:noMultiLvlLbl val="0"/>
      </c:catAx>
      <c:valAx>
        <c:axId val="166638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3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314325</xdr:colOff>
      <xdr:row>47</xdr:row>
      <xdr:rowOff>28575</xdr:rowOff>
    </xdr:from>
    <xdr:to>
      <xdr:col>30</xdr:col>
      <xdr:colOff>323850</xdr:colOff>
      <xdr:row>49</xdr:row>
      <xdr:rowOff>228600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19011900" y="12696825"/>
          <a:ext cx="9525" cy="6858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280987</xdr:rowOff>
    </xdr:from>
    <xdr:to>
      <xdr:col>12</xdr:col>
      <xdr:colOff>323850</xdr:colOff>
      <xdr:row>16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3FD62E-3429-433B-AB4B-3D84312BD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2994C8-1A67-4E75-A4CA-7507199DD57B}" name="Table35" displayName="Table35" ref="A3:E19" totalsRowShown="0" headerRowDxfId="9" dataDxfId="7" headerRowBorderDxfId="8" tableBorderDxfId="6" totalsRowBorderDxfId="5">
  <autoFilter ref="A3:E19" xr:uid="{CC2994C8-1A67-4E75-A4CA-7507199DD57B}"/>
  <tableColumns count="5">
    <tableColumn id="1" xr3:uid="{D9A6D073-3A44-4F9E-BAA5-582DA537BADA}" name="Position" dataDxfId="4"/>
    <tableColumn id="4" xr3:uid="{3661038C-1DEC-4307-8DC0-799A478EC242}" name="Villa" dataDxfId="3"/>
    <tableColumn id="5" xr3:uid="{4A1117BA-CD0F-45C2-8D3B-D9E9834ED23F}" name="B3" dataDxfId="2"/>
    <tableColumn id="6" xr3:uid="{788FCD4E-E0BE-43E1-9FAE-EB1CE0548051}" name="B2" dataDxfId="1"/>
    <tableColumn id="7" xr3:uid="{EE9CC115-5A0B-4000-A09A-DD9CD219472C}" name="Laydown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/>
  <dimension ref="A1:AE104"/>
  <sheetViews>
    <sheetView tabSelected="1"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P58" sqref="P58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2" width="8.33203125" customWidth="1"/>
    <col min="13" max="14" width="8.5546875" customWidth="1"/>
    <col min="15" max="15" width="9.33203125" customWidth="1"/>
    <col min="16" max="18" width="8.33203125" customWidth="1"/>
    <col min="19" max="19" width="9.10937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thickTop="1" thickBot="1" x14ac:dyDescent="0.35">
      <c r="A1" s="92" t="s">
        <v>73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84" t="s">
        <v>0</v>
      </c>
    </row>
    <row r="2" spans="1:31" ht="21" customHeight="1" thickTop="1" thickBot="1" x14ac:dyDescent="0.35">
      <c r="A2" s="102" t="s">
        <v>70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4"/>
      <c r="AE2" s="85"/>
    </row>
    <row r="3" spans="1:31" ht="40.5" customHeight="1" thickTop="1" thickBot="1" x14ac:dyDescent="0.35">
      <c r="A3" s="64" t="s">
        <v>64</v>
      </c>
      <c r="B3" s="105" t="s">
        <v>63</v>
      </c>
      <c r="C3" s="105"/>
      <c r="D3" s="105"/>
      <c r="E3" s="105"/>
      <c r="F3" s="105"/>
      <c r="G3" s="105"/>
      <c r="H3" s="87" t="s">
        <v>51</v>
      </c>
      <c r="I3" s="88"/>
      <c r="J3" s="62" t="s">
        <v>47</v>
      </c>
      <c r="K3" s="95" t="s">
        <v>46</v>
      </c>
      <c r="L3" s="96"/>
      <c r="M3" s="97" t="s">
        <v>54</v>
      </c>
      <c r="N3" s="98"/>
      <c r="O3" s="66" t="s">
        <v>59</v>
      </c>
      <c r="P3" s="89" t="s">
        <v>48</v>
      </c>
      <c r="Q3" s="94"/>
      <c r="R3" s="91"/>
      <c r="S3" s="60" t="s">
        <v>61</v>
      </c>
      <c r="T3" s="99" t="s">
        <v>60</v>
      </c>
      <c r="U3" s="100"/>
      <c r="V3" s="101"/>
      <c r="W3" s="61" t="s">
        <v>62</v>
      </c>
      <c r="X3" s="89" t="s">
        <v>41</v>
      </c>
      <c r="Y3" s="94"/>
      <c r="Z3" s="94"/>
      <c r="AA3" s="61" t="s">
        <v>69</v>
      </c>
      <c r="AB3" s="89" t="s">
        <v>45</v>
      </c>
      <c r="AC3" s="90"/>
      <c r="AD3" s="91"/>
      <c r="AE3" s="85"/>
    </row>
    <row r="4" spans="1:31" ht="28.8" thickTop="1" thickBot="1" x14ac:dyDescent="0.35">
      <c r="A4" s="65" t="s">
        <v>65</v>
      </c>
      <c r="B4" s="63" t="s">
        <v>55</v>
      </c>
      <c r="C4" s="63" t="s">
        <v>1</v>
      </c>
      <c r="D4" s="63" t="s">
        <v>2</v>
      </c>
      <c r="E4" s="63" t="s">
        <v>3</v>
      </c>
      <c r="F4" s="63" t="s">
        <v>44</v>
      </c>
      <c r="G4" s="63" t="s">
        <v>43</v>
      </c>
      <c r="H4" s="19" t="s">
        <v>2</v>
      </c>
      <c r="I4" s="13" t="s">
        <v>42</v>
      </c>
      <c r="J4" s="14" t="s">
        <v>3</v>
      </c>
      <c r="K4" s="15" t="s">
        <v>3</v>
      </c>
      <c r="L4" s="23" t="s">
        <v>42</v>
      </c>
      <c r="M4" s="25" t="s">
        <v>3</v>
      </c>
      <c r="N4" s="16" t="s">
        <v>2</v>
      </c>
      <c r="O4" s="16" t="s">
        <v>42</v>
      </c>
      <c r="P4" s="11" t="s">
        <v>2</v>
      </c>
      <c r="Q4" s="18" t="s">
        <v>42</v>
      </c>
      <c r="R4" s="13" t="s">
        <v>3</v>
      </c>
      <c r="S4" s="21" t="s">
        <v>42</v>
      </c>
      <c r="T4" s="26" t="s">
        <v>42</v>
      </c>
      <c r="U4" s="77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42</v>
      </c>
      <c r="AA4" s="22" t="s">
        <v>3</v>
      </c>
      <c r="AB4" s="11" t="s">
        <v>2</v>
      </c>
      <c r="AC4" s="12" t="s">
        <v>42</v>
      </c>
      <c r="AD4" s="13" t="s">
        <v>3</v>
      </c>
      <c r="AE4" s="86"/>
    </row>
    <row r="5" spans="1:31" ht="19.8" thickTop="1" x14ac:dyDescent="0.45">
      <c r="A5" s="1" t="s">
        <v>5</v>
      </c>
      <c r="B5" s="27">
        <v>1</v>
      </c>
      <c r="C5" s="27" t="s">
        <v>6</v>
      </c>
      <c r="D5" s="27" t="s">
        <v>6</v>
      </c>
      <c r="E5" s="27" t="s">
        <v>6</v>
      </c>
      <c r="F5" s="27" t="s">
        <v>6</v>
      </c>
      <c r="G5" s="27" t="s">
        <v>6</v>
      </c>
      <c r="H5" s="52" t="s">
        <v>6</v>
      </c>
      <c r="I5" s="53" t="s">
        <v>6</v>
      </c>
      <c r="J5" s="31" t="s">
        <v>6</v>
      </c>
      <c r="K5" s="54" t="s">
        <v>6</v>
      </c>
      <c r="L5" s="34" t="s">
        <v>6</v>
      </c>
      <c r="M5" s="55" t="s">
        <v>6</v>
      </c>
      <c r="N5" s="30" t="s">
        <v>6</v>
      </c>
      <c r="O5" s="28" t="s">
        <v>6</v>
      </c>
      <c r="P5" s="56" t="s">
        <v>6</v>
      </c>
      <c r="Q5" s="57" t="s">
        <v>6</v>
      </c>
      <c r="R5" s="53" t="s">
        <v>6</v>
      </c>
      <c r="S5" s="28" t="s">
        <v>6</v>
      </c>
      <c r="T5" s="29" t="s">
        <v>6</v>
      </c>
      <c r="U5" s="78" t="s">
        <v>6</v>
      </c>
      <c r="V5" s="30" t="s">
        <v>6</v>
      </c>
      <c r="W5" s="31" t="s">
        <v>6</v>
      </c>
      <c r="X5" s="32" t="s">
        <v>6</v>
      </c>
      <c r="Y5" s="33" t="s">
        <v>6</v>
      </c>
      <c r="Z5" s="34" t="s">
        <v>6</v>
      </c>
      <c r="AA5" s="35" t="s">
        <v>6</v>
      </c>
      <c r="AB5" s="36" t="s">
        <v>6</v>
      </c>
      <c r="AC5" s="37" t="s">
        <v>6</v>
      </c>
      <c r="AD5" s="38" t="s">
        <v>6</v>
      </c>
      <c r="AE5" s="7">
        <f t="shared" ref="AE5:AE26" si="0">SUM(B5:AD5)</f>
        <v>1</v>
      </c>
    </row>
    <row r="6" spans="1:31" ht="19.2" x14ac:dyDescent="0.45">
      <c r="A6" s="2" t="s">
        <v>7</v>
      </c>
      <c r="B6" s="39">
        <v>1</v>
      </c>
      <c r="C6" s="39" t="s">
        <v>6</v>
      </c>
      <c r="D6" s="39" t="s">
        <v>6</v>
      </c>
      <c r="E6" s="39" t="s">
        <v>6</v>
      </c>
      <c r="F6" s="39" t="s">
        <v>6</v>
      </c>
      <c r="G6" s="39" t="s">
        <v>6</v>
      </c>
      <c r="H6" s="58" t="s">
        <v>6</v>
      </c>
      <c r="I6" s="38" t="s">
        <v>6</v>
      </c>
      <c r="J6" s="40" t="s">
        <v>6</v>
      </c>
      <c r="K6" s="36" t="s">
        <v>6</v>
      </c>
      <c r="L6" s="37" t="s">
        <v>6</v>
      </c>
      <c r="M6" s="58" t="s">
        <v>6</v>
      </c>
      <c r="N6" s="38" t="s">
        <v>6</v>
      </c>
      <c r="O6" s="38" t="s">
        <v>6</v>
      </c>
      <c r="P6" s="36" t="s">
        <v>6</v>
      </c>
      <c r="Q6" s="37" t="s">
        <v>6</v>
      </c>
      <c r="R6" s="38" t="s">
        <v>6</v>
      </c>
      <c r="S6" s="38" t="s">
        <v>6</v>
      </c>
      <c r="T6" s="36" t="s">
        <v>6</v>
      </c>
      <c r="U6" s="37" t="s">
        <v>6</v>
      </c>
      <c r="V6" s="38" t="s">
        <v>6</v>
      </c>
      <c r="W6" s="40" t="s">
        <v>6</v>
      </c>
      <c r="X6" s="41" t="s">
        <v>6</v>
      </c>
      <c r="Y6" s="42" t="s">
        <v>6</v>
      </c>
      <c r="Z6" s="37" t="s">
        <v>6</v>
      </c>
      <c r="AA6" s="43" t="s">
        <v>6</v>
      </c>
      <c r="AB6" s="36" t="s">
        <v>6</v>
      </c>
      <c r="AC6" s="37" t="s">
        <v>6</v>
      </c>
      <c r="AD6" s="38" t="s">
        <v>6</v>
      </c>
      <c r="AE6" s="7">
        <f t="shared" si="0"/>
        <v>1</v>
      </c>
    </row>
    <row r="7" spans="1:31" ht="19.2" x14ac:dyDescent="0.45">
      <c r="A7" s="2" t="s">
        <v>56</v>
      </c>
      <c r="B7" s="39">
        <v>1</v>
      </c>
      <c r="C7" s="39" t="s">
        <v>6</v>
      </c>
      <c r="D7" s="39" t="s">
        <v>6</v>
      </c>
      <c r="E7" s="39" t="s">
        <v>6</v>
      </c>
      <c r="F7" s="39" t="s">
        <v>6</v>
      </c>
      <c r="G7" s="39" t="s">
        <v>6</v>
      </c>
      <c r="H7" s="58" t="s">
        <v>6</v>
      </c>
      <c r="I7" s="38" t="s">
        <v>6</v>
      </c>
      <c r="J7" s="40" t="s">
        <v>6</v>
      </c>
      <c r="K7" s="36" t="s">
        <v>6</v>
      </c>
      <c r="L7" s="37" t="s">
        <v>6</v>
      </c>
      <c r="M7" s="58" t="s">
        <v>6</v>
      </c>
      <c r="N7" s="38" t="s">
        <v>6</v>
      </c>
      <c r="O7" s="38"/>
      <c r="P7" s="36"/>
      <c r="Q7" s="37"/>
      <c r="R7" s="38"/>
      <c r="S7" s="38" t="s">
        <v>6</v>
      </c>
      <c r="T7" s="36" t="s">
        <v>6</v>
      </c>
      <c r="U7" s="37" t="s">
        <v>6</v>
      </c>
      <c r="V7" s="38"/>
      <c r="W7" s="40"/>
      <c r="X7" s="41"/>
      <c r="Y7" s="42"/>
      <c r="Z7" s="37"/>
      <c r="AA7" s="43"/>
      <c r="AB7" s="36"/>
      <c r="AC7" s="37"/>
      <c r="AD7" s="38"/>
      <c r="AE7" s="7">
        <f t="shared" si="0"/>
        <v>1</v>
      </c>
    </row>
    <row r="8" spans="1:31" ht="19.2" x14ac:dyDescent="0.45">
      <c r="A8" s="2" t="s">
        <v>8</v>
      </c>
      <c r="B8" s="39">
        <v>1</v>
      </c>
      <c r="C8" s="39" t="s">
        <v>6</v>
      </c>
      <c r="D8" s="39" t="s">
        <v>6</v>
      </c>
      <c r="E8" s="39" t="s">
        <v>6</v>
      </c>
      <c r="F8" s="39" t="s">
        <v>6</v>
      </c>
      <c r="G8" s="39" t="s">
        <v>6</v>
      </c>
      <c r="H8" s="58" t="s">
        <v>6</v>
      </c>
      <c r="I8" s="38" t="s">
        <v>6</v>
      </c>
      <c r="J8" s="40" t="s">
        <v>6</v>
      </c>
      <c r="K8" s="36" t="s">
        <v>6</v>
      </c>
      <c r="L8" s="37" t="s">
        <v>6</v>
      </c>
      <c r="M8" s="58" t="s">
        <v>6</v>
      </c>
      <c r="N8" s="38" t="s">
        <v>6</v>
      </c>
      <c r="O8" s="38" t="s">
        <v>6</v>
      </c>
      <c r="P8" s="36" t="s">
        <v>6</v>
      </c>
      <c r="Q8" s="37" t="s">
        <v>6</v>
      </c>
      <c r="R8" s="38" t="s">
        <v>6</v>
      </c>
      <c r="S8" s="38" t="s">
        <v>6</v>
      </c>
      <c r="T8" s="36" t="s">
        <v>6</v>
      </c>
      <c r="U8" s="37" t="s">
        <v>6</v>
      </c>
      <c r="V8" s="38" t="s">
        <v>6</v>
      </c>
      <c r="W8" s="40" t="s">
        <v>6</v>
      </c>
      <c r="X8" s="41" t="s">
        <v>6</v>
      </c>
      <c r="Y8" s="42" t="s">
        <v>6</v>
      </c>
      <c r="Z8" s="37" t="s">
        <v>6</v>
      </c>
      <c r="AA8" s="43" t="s">
        <v>6</v>
      </c>
      <c r="AB8" s="36" t="s">
        <v>6</v>
      </c>
      <c r="AC8" s="37" t="s">
        <v>6</v>
      </c>
      <c r="AD8" s="38" t="s">
        <v>6</v>
      </c>
      <c r="AE8" s="7">
        <f t="shared" si="0"/>
        <v>1</v>
      </c>
    </row>
    <row r="9" spans="1:31" ht="19.2" x14ac:dyDescent="0.45">
      <c r="A9" s="2" t="s">
        <v>9</v>
      </c>
      <c r="B9" s="39">
        <v>1</v>
      </c>
      <c r="C9" s="39" t="s">
        <v>6</v>
      </c>
      <c r="D9" s="39" t="s">
        <v>6</v>
      </c>
      <c r="E9" s="39" t="s">
        <v>6</v>
      </c>
      <c r="F9" s="39" t="s">
        <v>6</v>
      </c>
      <c r="G9" s="39" t="s">
        <v>6</v>
      </c>
      <c r="H9" s="58" t="s">
        <v>6</v>
      </c>
      <c r="I9" s="38" t="s">
        <v>6</v>
      </c>
      <c r="J9" s="40" t="s">
        <v>6</v>
      </c>
      <c r="K9" s="36" t="s">
        <v>6</v>
      </c>
      <c r="L9" s="37" t="s">
        <v>6</v>
      </c>
      <c r="M9" s="58" t="s">
        <v>6</v>
      </c>
      <c r="N9" s="38" t="s">
        <v>6</v>
      </c>
      <c r="O9" s="38" t="s">
        <v>6</v>
      </c>
      <c r="P9" s="36" t="s">
        <v>6</v>
      </c>
      <c r="Q9" s="37" t="s">
        <v>6</v>
      </c>
      <c r="R9" s="38" t="s">
        <v>6</v>
      </c>
      <c r="S9" s="38" t="s">
        <v>6</v>
      </c>
      <c r="T9" s="36" t="s">
        <v>6</v>
      </c>
      <c r="U9" s="37" t="s">
        <v>6</v>
      </c>
      <c r="V9" s="38" t="s">
        <v>6</v>
      </c>
      <c r="W9" s="40" t="s">
        <v>6</v>
      </c>
      <c r="X9" s="41" t="s">
        <v>6</v>
      </c>
      <c r="Y9" s="42" t="s">
        <v>6</v>
      </c>
      <c r="Z9" s="37" t="s">
        <v>6</v>
      </c>
      <c r="AA9" s="43" t="s">
        <v>6</v>
      </c>
      <c r="AB9" s="36" t="s">
        <v>6</v>
      </c>
      <c r="AC9" s="37" t="s">
        <v>6</v>
      </c>
      <c r="AD9" s="38" t="s">
        <v>6</v>
      </c>
      <c r="AE9" s="7">
        <f t="shared" si="0"/>
        <v>1</v>
      </c>
    </row>
    <row r="10" spans="1:31" ht="19.2" x14ac:dyDescent="0.45">
      <c r="A10" s="2" t="s">
        <v>10</v>
      </c>
      <c r="B10" s="39">
        <v>1</v>
      </c>
      <c r="C10" s="39" t="s">
        <v>6</v>
      </c>
      <c r="D10" s="39" t="s">
        <v>6</v>
      </c>
      <c r="E10" s="39" t="s">
        <v>6</v>
      </c>
      <c r="F10" s="39" t="s">
        <v>6</v>
      </c>
      <c r="G10" s="39" t="s">
        <v>6</v>
      </c>
      <c r="H10" s="58" t="s">
        <v>6</v>
      </c>
      <c r="I10" s="38" t="s">
        <v>6</v>
      </c>
      <c r="J10" s="40" t="s">
        <v>6</v>
      </c>
      <c r="K10" s="36" t="s">
        <v>6</v>
      </c>
      <c r="L10" s="37" t="s">
        <v>6</v>
      </c>
      <c r="M10" s="58" t="s">
        <v>6</v>
      </c>
      <c r="N10" s="38" t="s">
        <v>6</v>
      </c>
      <c r="O10" s="38" t="s">
        <v>6</v>
      </c>
      <c r="P10" s="36" t="s">
        <v>6</v>
      </c>
      <c r="Q10" s="37" t="s">
        <v>6</v>
      </c>
      <c r="R10" s="38" t="s">
        <v>6</v>
      </c>
      <c r="S10" s="38" t="s">
        <v>6</v>
      </c>
      <c r="T10" s="36" t="s">
        <v>6</v>
      </c>
      <c r="U10" s="37" t="s">
        <v>6</v>
      </c>
      <c r="V10" s="38" t="s">
        <v>6</v>
      </c>
      <c r="W10" s="40" t="s">
        <v>6</v>
      </c>
      <c r="X10" s="41" t="s">
        <v>6</v>
      </c>
      <c r="Y10" s="42" t="s">
        <v>6</v>
      </c>
      <c r="Z10" s="37" t="s">
        <v>6</v>
      </c>
      <c r="AA10" s="43" t="s">
        <v>6</v>
      </c>
      <c r="AB10" s="36" t="s">
        <v>6</v>
      </c>
      <c r="AC10" s="37" t="s">
        <v>6</v>
      </c>
      <c r="AD10" s="38" t="s">
        <v>6</v>
      </c>
      <c r="AE10" s="7">
        <f t="shared" si="0"/>
        <v>1</v>
      </c>
    </row>
    <row r="11" spans="1:31" ht="19.2" x14ac:dyDescent="0.45">
      <c r="A11" s="2" t="s">
        <v>11</v>
      </c>
      <c r="B11" s="39">
        <v>1</v>
      </c>
      <c r="C11" s="39" t="s">
        <v>6</v>
      </c>
      <c r="D11" s="39" t="s">
        <v>6</v>
      </c>
      <c r="E11" s="39" t="s">
        <v>6</v>
      </c>
      <c r="F11" s="39" t="s">
        <v>6</v>
      </c>
      <c r="G11" s="39" t="s">
        <v>6</v>
      </c>
      <c r="H11" s="58" t="s">
        <v>6</v>
      </c>
      <c r="I11" s="38" t="s">
        <v>6</v>
      </c>
      <c r="J11" s="40" t="s">
        <v>6</v>
      </c>
      <c r="K11" s="36" t="s">
        <v>6</v>
      </c>
      <c r="L11" s="37" t="s">
        <v>6</v>
      </c>
      <c r="M11" s="58" t="s">
        <v>6</v>
      </c>
      <c r="N11" s="38" t="s">
        <v>6</v>
      </c>
      <c r="O11" s="38" t="s">
        <v>6</v>
      </c>
      <c r="P11" s="36" t="s">
        <v>6</v>
      </c>
      <c r="Q11" s="37" t="s">
        <v>6</v>
      </c>
      <c r="R11" s="38" t="s">
        <v>6</v>
      </c>
      <c r="S11" s="38" t="s">
        <v>6</v>
      </c>
      <c r="T11" s="36" t="s">
        <v>6</v>
      </c>
      <c r="U11" s="37" t="s">
        <v>6</v>
      </c>
      <c r="V11" s="38" t="s">
        <v>6</v>
      </c>
      <c r="W11" s="40" t="s">
        <v>6</v>
      </c>
      <c r="X11" s="41" t="s">
        <v>6</v>
      </c>
      <c r="Y11" s="42" t="s">
        <v>6</v>
      </c>
      <c r="Z11" s="37" t="s">
        <v>6</v>
      </c>
      <c r="AA11" s="43" t="s">
        <v>6</v>
      </c>
      <c r="AB11" s="36" t="s">
        <v>6</v>
      </c>
      <c r="AC11" s="37" t="s">
        <v>6</v>
      </c>
      <c r="AD11" s="38" t="s">
        <v>6</v>
      </c>
      <c r="AE11" s="7">
        <f t="shared" si="0"/>
        <v>1</v>
      </c>
    </row>
    <row r="12" spans="1:31" ht="19.2" x14ac:dyDescent="0.45">
      <c r="A12" s="2" t="s">
        <v>50</v>
      </c>
      <c r="B12" s="39">
        <v>1</v>
      </c>
      <c r="C12" s="39" t="s">
        <v>6</v>
      </c>
      <c r="D12" s="39" t="s">
        <v>6</v>
      </c>
      <c r="E12" s="39" t="s">
        <v>6</v>
      </c>
      <c r="F12" s="39" t="s">
        <v>6</v>
      </c>
      <c r="G12" s="39" t="s">
        <v>6</v>
      </c>
      <c r="H12" s="58" t="s">
        <v>6</v>
      </c>
      <c r="I12" s="38" t="s">
        <v>6</v>
      </c>
      <c r="J12" s="40" t="s">
        <v>6</v>
      </c>
      <c r="K12" s="36" t="s">
        <v>6</v>
      </c>
      <c r="L12" s="37" t="s">
        <v>6</v>
      </c>
      <c r="M12" s="58" t="s">
        <v>6</v>
      </c>
      <c r="N12" s="38" t="s">
        <v>6</v>
      </c>
      <c r="O12" s="38" t="s">
        <v>6</v>
      </c>
      <c r="P12" s="36" t="s">
        <v>6</v>
      </c>
      <c r="Q12" s="37" t="s">
        <v>6</v>
      </c>
      <c r="R12" s="38" t="s">
        <v>6</v>
      </c>
      <c r="S12" s="38" t="s">
        <v>6</v>
      </c>
      <c r="T12" s="36" t="s">
        <v>6</v>
      </c>
      <c r="U12" s="37" t="s">
        <v>6</v>
      </c>
      <c r="V12" s="38" t="s">
        <v>6</v>
      </c>
      <c r="W12" s="40" t="s">
        <v>6</v>
      </c>
      <c r="X12" s="41" t="s">
        <v>6</v>
      </c>
      <c r="Y12" s="42" t="s">
        <v>6</v>
      </c>
      <c r="Z12" s="37" t="s">
        <v>6</v>
      </c>
      <c r="AA12" s="43" t="s">
        <v>6</v>
      </c>
      <c r="AB12" s="36" t="s">
        <v>6</v>
      </c>
      <c r="AC12" s="37" t="s">
        <v>6</v>
      </c>
      <c r="AD12" s="38" t="s">
        <v>6</v>
      </c>
      <c r="AE12" s="7">
        <f t="shared" si="0"/>
        <v>1</v>
      </c>
    </row>
    <row r="13" spans="1:31" ht="19.2" x14ac:dyDescent="0.45">
      <c r="A13" s="2" t="s">
        <v>53</v>
      </c>
      <c r="B13" s="39">
        <v>1</v>
      </c>
      <c r="C13" s="39" t="s">
        <v>6</v>
      </c>
      <c r="D13" s="39" t="s">
        <v>6</v>
      </c>
      <c r="E13" s="39" t="s">
        <v>6</v>
      </c>
      <c r="F13" s="39" t="s">
        <v>6</v>
      </c>
      <c r="G13" s="39" t="s">
        <v>6</v>
      </c>
      <c r="H13" s="58" t="s">
        <v>6</v>
      </c>
      <c r="I13" s="38" t="s">
        <v>6</v>
      </c>
      <c r="J13" s="40" t="s">
        <v>6</v>
      </c>
      <c r="K13" s="36" t="s">
        <v>6</v>
      </c>
      <c r="L13" s="37" t="s">
        <v>6</v>
      </c>
      <c r="M13" s="58" t="s">
        <v>6</v>
      </c>
      <c r="N13" s="38" t="s">
        <v>6</v>
      </c>
      <c r="O13" s="38" t="s">
        <v>6</v>
      </c>
      <c r="P13" s="36" t="s">
        <v>6</v>
      </c>
      <c r="Q13" s="37" t="s">
        <v>6</v>
      </c>
      <c r="R13" s="38" t="s">
        <v>6</v>
      </c>
      <c r="S13" s="38" t="s">
        <v>6</v>
      </c>
      <c r="T13" s="36" t="s">
        <v>6</v>
      </c>
      <c r="U13" s="37" t="s">
        <v>6</v>
      </c>
      <c r="V13" s="38" t="s">
        <v>6</v>
      </c>
      <c r="W13" s="40" t="s">
        <v>6</v>
      </c>
      <c r="X13" s="41" t="s">
        <v>6</v>
      </c>
      <c r="Y13" s="42" t="s">
        <v>6</v>
      </c>
      <c r="Z13" s="37" t="s">
        <v>6</v>
      </c>
      <c r="AA13" s="43" t="s">
        <v>6</v>
      </c>
      <c r="AB13" s="36"/>
      <c r="AC13" s="37"/>
      <c r="AD13" s="38"/>
      <c r="AE13" s="7">
        <f t="shared" si="0"/>
        <v>1</v>
      </c>
    </row>
    <row r="14" spans="1:31" ht="19.2" x14ac:dyDescent="0.45">
      <c r="A14" s="2" t="s">
        <v>12</v>
      </c>
      <c r="B14" s="39">
        <v>2</v>
      </c>
      <c r="C14" s="39" t="s">
        <v>6</v>
      </c>
      <c r="D14" s="39" t="s">
        <v>6</v>
      </c>
      <c r="E14" s="39" t="s">
        <v>6</v>
      </c>
      <c r="F14" s="39" t="s">
        <v>6</v>
      </c>
      <c r="G14" s="39" t="s">
        <v>6</v>
      </c>
      <c r="H14" s="58" t="s">
        <v>6</v>
      </c>
      <c r="I14" s="38" t="s">
        <v>6</v>
      </c>
      <c r="J14" s="40" t="s">
        <v>6</v>
      </c>
      <c r="K14" s="36" t="s">
        <v>6</v>
      </c>
      <c r="L14" s="37" t="s">
        <v>6</v>
      </c>
      <c r="M14" s="58" t="s">
        <v>6</v>
      </c>
      <c r="N14" s="38" t="s">
        <v>6</v>
      </c>
      <c r="O14" s="38" t="s">
        <v>6</v>
      </c>
      <c r="P14" s="36" t="s">
        <v>6</v>
      </c>
      <c r="Q14" s="37" t="s">
        <v>6</v>
      </c>
      <c r="R14" s="38" t="s">
        <v>6</v>
      </c>
      <c r="S14" s="38" t="s">
        <v>6</v>
      </c>
      <c r="T14" s="36" t="s">
        <v>6</v>
      </c>
      <c r="U14" s="37" t="s">
        <v>6</v>
      </c>
      <c r="V14" s="38" t="s">
        <v>6</v>
      </c>
      <c r="W14" s="40" t="s">
        <v>6</v>
      </c>
      <c r="X14" s="41" t="s">
        <v>6</v>
      </c>
      <c r="Y14" s="42" t="s">
        <v>6</v>
      </c>
      <c r="Z14" s="37" t="s">
        <v>6</v>
      </c>
      <c r="AA14" s="43" t="s">
        <v>6</v>
      </c>
      <c r="AB14" s="36" t="s">
        <v>6</v>
      </c>
      <c r="AC14" s="37" t="s">
        <v>6</v>
      </c>
      <c r="AD14" s="38" t="s">
        <v>6</v>
      </c>
      <c r="AE14" s="7">
        <f t="shared" si="0"/>
        <v>2</v>
      </c>
    </row>
    <row r="15" spans="1:31" ht="19.2" x14ac:dyDescent="0.45">
      <c r="A15" s="2" t="s">
        <v>13</v>
      </c>
      <c r="B15" s="39">
        <v>2</v>
      </c>
      <c r="C15" s="39" t="s">
        <v>6</v>
      </c>
      <c r="D15" s="39" t="s">
        <v>6</v>
      </c>
      <c r="E15" s="39" t="s">
        <v>6</v>
      </c>
      <c r="F15" s="39" t="s">
        <v>6</v>
      </c>
      <c r="G15" s="39" t="s">
        <v>6</v>
      </c>
      <c r="H15" s="58" t="s">
        <v>6</v>
      </c>
      <c r="I15" s="38" t="s">
        <v>6</v>
      </c>
      <c r="J15" s="40" t="s">
        <v>6</v>
      </c>
      <c r="K15" s="36" t="s">
        <v>6</v>
      </c>
      <c r="L15" s="37" t="s">
        <v>6</v>
      </c>
      <c r="M15" s="58" t="s">
        <v>6</v>
      </c>
      <c r="N15" s="38" t="s">
        <v>6</v>
      </c>
      <c r="O15" s="38" t="s">
        <v>6</v>
      </c>
      <c r="P15" s="36" t="s">
        <v>6</v>
      </c>
      <c r="Q15" s="37" t="s">
        <v>6</v>
      </c>
      <c r="R15" s="38" t="s">
        <v>6</v>
      </c>
      <c r="S15" s="38" t="s">
        <v>6</v>
      </c>
      <c r="T15" s="36" t="s">
        <v>6</v>
      </c>
      <c r="U15" s="37" t="s">
        <v>6</v>
      </c>
      <c r="V15" s="38" t="s">
        <v>6</v>
      </c>
      <c r="W15" s="40" t="s">
        <v>6</v>
      </c>
      <c r="X15" s="41" t="s">
        <v>6</v>
      </c>
      <c r="Y15" s="42" t="s">
        <v>6</v>
      </c>
      <c r="Z15" s="37" t="s">
        <v>6</v>
      </c>
      <c r="AA15" s="43" t="s">
        <v>6</v>
      </c>
      <c r="AB15" s="36" t="s">
        <v>6</v>
      </c>
      <c r="AC15" s="37" t="s">
        <v>6</v>
      </c>
      <c r="AD15" s="38" t="s">
        <v>6</v>
      </c>
      <c r="AE15" s="7">
        <f t="shared" si="0"/>
        <v>2</v>
      </c>
    </row>
    <row r="16" spans="1:31" ht="19.2" x14ac:dyDescent="0.45">
      <c r="A16" s="2" t="s">
        <v>14</v>
      </c>
      <c r="B16" s="39">
        <v>2</v>
      </c>
      <c r="C16" s="39">
        <v>3</v>
      </c>
      <c r="D16" s="39">
        <v>2</v>
      </c>
      <c r="E16" s="39">
        <v>6</v>
      </c>
      <c r="F16" s="39" t="s">
        <v>6</v>
      </c>
      <c r="G16" s="39" t="s">
        <v>6</v>
      </c>
      <c r="H16" s="58" t="s">
        <v>6</v>
      </c>
      <c r="I16" s="38" t="s">
        <v>6</v>
      </c>
      <c r="J16" s="40" t="s">
        <v>6</v>
      </c>
      <c r="K16" s="36" t="s">
        <v>6</v>
      </c>
      <c r="L16" s="37" t="s">
        <v>6</v>
      </c>
      <c r="M16" s="58" t="s">
        <v>6</v>
      </c>
      <c r="N16" s="38" t="s">
        <v>6</v>
      </c>
      <c r="O16" s="38" t="s">
        <v>6</v>
      </c>
      <c r="P16" s="36" t="s">
        <v>6</v>
      </c>
      <c r="Q16" s="37" t="s">
        <v>6</v>
      </c>
      <c r="R16" s="38" t="s">
        <v>6</v>
      </c>
      <c r="S16" s="38" t="s">
        <v>6</v>
      </c>
      <c r="T16" s="36" t="s">
        <v>6</v>
      </c>
      <c r="U16" s="37" t="s">
        <v>6</v>
      </c>
      <c r="V16" s="38" t="s">
        <v>6</v>
      </c>
      <c r="W16" s="40" t="s">
        <v>6</v>
      </c>
      <c r="X16" s="41" t="s">
        <v>6</v>
      </c>
      <c r="Y16" s="42" t="s">
        <v>6</v>
      </c>
      <c r="Z16" s="37" t="s">
        <v>6</v>
      </c>
      <c r="AA16" s="43" t="s">
        <v>6</v>
      </c>
      <c r="AB16" s="36" t="s">
        <v>6</v>
      </c>
      <c r="AC16" s="37" t="s">
        <v>6</v>
      </c>
      <c r="AD16" s="38" t="s">
        <v>6</v>
      </c>
      <c r="AE16" s="7">
        <f t="shared" si="0"/>
        <v>13</v>
      </c>
    </row>
    <row r="17" spans="1:31" ht="19.2" x14ac:dyDescent="0.45">
      <c r="A17" s="2" t="s">
        <v>15</v>
      </c>
      <c r="B17" s="39" t="s">
        <v>6</v>
      </c>
      <c r="C17" s="39" t="s">
        <v>6</v>
      </c>
      <c r="D17" s="39" t="s">
        <v>6</v>
      </c>
      <c r="E17" s="39" t="s">
        <v>6</v>
      </c>
      <c r="F17" s="39">
        <v>1</v>
      </c>
      <c r="G17" s="39" t="s">
        <v>6</v>
      </c>
      <c r="H17" s="58" t="s">
        <v>6</v>
      </c>
      <c r="I17" s="38" t="s">
        <v>6</v>
      </c>
      <c r="J17" s="40" t="s">
        <v>6</v>
      </c>
      <c r="K17" s="36" t="s">
        <v>6</v>
      </c>
      <c r="L17" s="37" t="s">
        <v>6</v>
      </c>
      <c r="M17" s="58" t="s">
        <v>6</v>
      </c>
      <c r="N17" s="38" t="s">
        <v>6</v>
      </c>
      <c r="O17" s="38" t="s">
        <v>6</v>
      </c>
      <c r="P17" s="36" t="s">
        <v>6</v>
      </c>
      <c r="Q17" s="37" t="s">
        <v>6</v>
      </c>
      <c r="R17" s="38" t="s">
        <v>6</v>
      </c>
      <c r="S17" s="38" t="s">
        <v>6</v>
      </c>
      <c r="T17" s="36" t="s">
        <v>6</v>
      </c>
      <c r="U17" s="37" t="s">
        <v>6</v>
      </c>
      <c r="V17" s="38" t="s">
        <v>6</v>
      </c>
      <c r="W17" s="40" t="s">
        <v>6</v>
      </c>
      <c r="X17" s="41" t="s">
        <v>6</v>
      </c>
      <c r="Y17" s="42" t="s">
        <v>6</v>
      </c>
      <c r="Z17" s="37" t="s">
        <v>6</v>
      </c>
      <c r="AA17" s="43" t="s">
        <v>6</v>
      </c>
      <c r="AB17" s="36" t="s">
        <v>6</v>
      </c>
      <c r="AC17" s="37" t="s">
        <v>6</v>
      </c>
      <c r="AD17" s="38" t="s">
        <v>6</v>
      </c>
      <c r="AE17" s="7">
        <f t="shared" si="0"/>
        <v>1</v>
      </c>
    </row>
    <row r="18" spans="1:31" ht="19.2" x14ac:dyDescent="0.45">
      <c r="A18" s="2" t="s">
        <v>16</v>
      </c>
      <c r="B18" s="39">
        <v>1</v>
      </c>
      <c r="C18" s="39" t="s">
        <v>6</v>
      </c>
      <c r="D18" s="39" t="s">
        <v>6</v>
      </c>
      <c r="E18" s="39" t="s">
        <v>6</v>
      </c>
      <c r="F18" s="39" t="s">
        <v>6</v>
      </c>
      <c r="G18" s="39" t="s">
        <v>6</v>
      </c>
      <c r="H18" s="58"/>
      <c r="I18" s="38" t="s">
        <v>6</v>
      </c>
      <c r="J18" s="40" t="s">
        <v>6</v>
      </c>
      <c r="K18" s="36" t="s">
        <v>6</v>
      </c>
      <c r="L18" s="37" t="s">
        <v>6</v>
      </c>
      <c r="M18" s="58" t="s">
        <v>6</v>
      </c>
      <c r="N18" s="38" t="s">
        <v>6</v>
      </c>
      <c r="O18" s="38" t="s">
        <v>6</v>
      </c>
      <c r="P18" s="36" t="s">
        <v>6</v>
      </c>
      <c r="Q18" s="37" t="s">
        <v>6</v>
      </c>
      <c r="R18" s="38" t="s">
        <v>6</v>
      </c>
      <c r="S18" s="38" t="s">
        <v>6</v>
      </c>
      <c r="T18" s="36" t="s">
        <v>6</v>
      </c>
      <c r="U18" s="37" t="s">
        <v>6</v>
      </c>
      <c r="V18" s="38" t="s">
        <v>6</v>
      </c>
      <c r="W18" s="40" t="s">
        <v>6</v>
      </c>
      <c r="X18" s="41" t="s">
        <v>6</v>
      </c>
      <c r="Y18" s="42" t="s">
        <v>6</v>
      </c>
      <c r="Z18" s="37" t="s">
        <v>6</v>
      </c>
      <c r="AA18" s="43" t="s">
        <v>6</v>
      </c>
      <c r="AB18" s="36" t="s">
        <v>6</v>
      </c>
      <c r="AC18" s="37" t="s">
        <v>6</v>
      </c>
      <c r="AD18" s="38" t="s">
        <v>6</v>
      </c>
      <c r="AE18" s="7">
        <f t="shared" si="0"/>
        <v>1</v>
      </c>
    </row>
    <row r="19" spans="1:31" ht="19.2" x14ac:dyDescent="0.45">
      <c r="A19" s="2" t="s">
        <v>17</v>
      </c>
      <c r="B19" s="39">
        <v>2</v>
      </c>
      <c r="C19" s="39" t="s">
        <v>6</v>
      </c>
      <c r="D19" s="39" t="s">
        <v>6</v>
      </c>
      <c r="E19" s="39" t="s">
        <v>6</v>
      </c>
      <c r="F19" s="39" t="s">
        <v>6</v>
      </c>
      <c r="G19" s="39" t="s">
        <v>6</v>
      </c>
      <c r="H19" s="58" t="s">
        <v>6</v>
      </c>
      <c r="I19" s="38" t="s">
        <v>6</v>
      </c>
      <c r="J19" s="40" t="s">
        <v>6</v>
      </c>
      <c r="K19" s="36" t="s">
        <v>6</v>
      </c>
      <c r="L19" s="37" t="s">
        <v>6</v>
      </c>
      <c r="M19" s="58" t="s">
        <v>6</v>
      </c>
      <c r="N19" s="38" t="s">
        <v>6</v>
      </c>
      <c r="O19" s="38" t="s">
        <v>6</v>
      </c>
      <c r="P19" s="36" t="s">
        <v>6</v>
      </c>
      <c r="Q19" s="37" t="s">
        <v>6</v>
      </c>
      <c r="R19" s="38" t="s">
        <v>6</v>
      </c>
      <c r="S19" s="38" t="s">
        <v>6</v>
      </c>
      <c r="T19" s="36" t="s">
        <v>6</v>
      </c>
      <c r="U19" s="37" t="s">
        <v>6</v>
      </c>
      <c r="V19" s="38" t="s">
        <v>6</v>
      </c>
      <c r="W19" s="40" t="s">
        <v>6</v>
      </c>
      <c r="X19" s="41" t="s">
        <v>6</v>
      </c>
      <c r="Y19" s="42" t="s">
        <v>6</v>
      </c>
      <c r="Z19" s="37" t="s">
        <v>6</v>
      </c>
      <c r="AA19" s="43" t="s">
        <v>6</v>
      </c>
      <c r="AB19" s="36" t="s">
        <v>6</v>
      </c>
      <c r="AC19" s="37" t="s">
        <v>6</v>
      </c>
      <c r="AD19" s="38" t="s">
        <v>6</v>
      </c>
      <c r="AE19" s="7">
        <f t="shared" si="0"/>
        <v>2</v>
      </c>
    </row>
    <row r="20" spans="1:31" ht="19.2" x14ac:dyDescent="0.45">
      <c r="A20" s="2" t="s">
        <v>4</v>
      </c>
      <c r="B20" s="39" t="s">
        <v>6</v>
      </c>
      <c r="C20" s="39" t="s">
        <v>6</v>
      </c>
      <c r="D20" s="39" t="s">
        <v>6</v>
      </c>
      <c r="E20" s="39">
        <v>1</v>
      </c>
      <c r="F20" s="39" t="s">
        <v>6</v>
      </c>
      <c r="G20" s="39" t="s">
        <v>6</v>
      </c>
      <c r="H20" s="58" t="s">
        <v>6</v>
      </c>
      <c r="I20" s="38" t="s">
        <v>6</v>
      </c>
      <c r="J20" s="40" t="s">
        <v>6</v>
      </c>
      <c r="K20" s="36" t="s">
        <v>6</v>
      </c>
      <c r="L20" s="37" t="s">
        <v>6</v>
      </c>
      <c r="M20" s="58" t="s">
        <v>6</v>
      </c>
      <c r="N20" s="38" t="s">
        <v>6</v>
      </c>
      <c r="O20" s="38" t="s">
        <v>6</v>
      </c>
      <c r="P20" s="36" t="s">
        <v>6</v>
      </c>
      <c r="Q20" s="37" t="s">
        <v>6</v>
      </c>
      <c r="R20" s="38" t="s">
        <v>6</v>
      </c>
      <c r="S20" s="38" t="s">
        <v>6</v>
      </c>
      <c r="T20" s="36" t="s">
        <v>6</v>
      </c>
      <c r="U20" s="37" t="s">
        <v>6</v>
      </c>
      <c r="V20" s="38" t="s">
        <v>6</v>
      </c>
      <c r="W20" s="40" t="s">
        <v>6</v>
      </c>
      <c r="X20" s="41" t="s">
        <v>6</v>
      </c>
      <c r="Y20" s="42" t="s">
        <v>6</v>
      </c>
      <c r="Z20" s="37" t="s">
        <v>6</v>
      </c>
      <c r="AA20" s="43" t="s">
        <v>6</v>
      </c>
      <c r="AB20" s="36" t="s">
        <v>6</v>
      </c>
      <c r="AC20" s="37" t="s">
        <v>6</v>
      </c>
      <c r="AD20" s="38" t="s">
        <v>6</v>
      </c>
      <c r="AE20" s="7">
        <f t="shared" si="0"/>
        <v>1</v>
      </c>
    </row>
    <row r="21" spans="1:31" ht="19.2" x14ac:dyDescent="0.45">
      <c r="A21" s="2" t="s">
        <v>18</v>
      </c>
      <c r="B21" s="39" t="s">
        <v>6</v>
      </c>
      <c r="C21" s="39">
        <v>3</v>
      </c>
      <c r="D21" s="39">
        <v>1</v>
      </c>
      <c r="E21" s="39">
        <v>5</v>
      </c>
      <c r="F21" s="39" t="s">
        <v>6</v>
      </c>
      <c r="G21" s="39" t="s">
        <v>6</v>
      </c>
      <c r="H21" s="58" t="s">
        <v>6</v>
      </c>
      <c r="I21" s="38" t="s">
        <v>6</v>
      </c>
      <c r="J21" s="40" t="s">
        <v>6</v>
      </c>
      <c r="K21" s="36" t="s">
        <v>6</v>
      </c>
      <c r="L21" s="37" t="s">
        <v>6</v>
      </c>
      <c r="M21" s="58" t="s">
        <v>6</v>
      </c>
      <c r="N21" s="38" t="s">
        <v>6</v>
      </c>
      <c r="O21" s="38" t="s">
        <v>6</v>
      </c>
      <c r="P21" s="36" t="s">
        <v>6</v>
      </c>
      <c r="Q21" s="37" t="s">
        <v>6</v>
      </c>
      <c r="R21" s="38" t="s">
        <v>6</v>
      </c>
      <c r="S21" s="38" t="s">
        <v>6</v>
      </c>
      <c r="T21" s="36" t="s">
        <v>6</v>
      </c>
      <c r="U21" s="37" t="s">
        <v>6</v>
      </c>
      <c r="V21" s="38" t="s">
        <v>6</v>
      </c>
      <c r="W21" s="40" t="s">
        <v>6</v>
      </c>
      <c r="X21" s="41" t="s">
        <v>6</v>
      </c>
      <c r="Y21" s="42" t="s">
        <v>6</v>
      </c>
      <c r="Z21" s="37" t="s">
        <v>6</v>
      </c>
      <c r="AA21" s="43" t="s">
        <v>6</v>
      </c>
      <c r="AB21" s="36" t="s">
        <v>6</v>
      </c>
      <c r="AC21" s="37" t="s">
        <v>6</v>
      </c>
      <c r="AD21" s="38" t="s">
        <v>6</v>
      </c>
      <c r="AE21" s="7">
        <f t="shared" si="0"/>
        <v>9</v>
      </c>
    </row>
    <row r="22" spans="1:31" ht="19.2" x14ac:dyDescent="0.45">
      <c r="A22" s="2" t="s">
        <v>19</v>
      </c>
      <c r="B22" s="39" t="s">
        <v>6</v>
      </c>
      <c r="C22" s="39">
        <v>1</v>
      </c>
      <c r="D22" s="39" t="s">
        <v>6</v>
      </c>
      <c r="E22" s="39">
        <v>2</v>
      </c>
      <c r="F22" s="39" t="s">
        <v>6</v>
      </c>
      <c r="G22" s="39" t="s">
        <v>6</v>
      </c>
      <c r="H22" s="58" t="s">
        <v>6</v>
      </c>
      <c r="I22" s="38" t="s">
        <v>6</v>
      </c>
      <c r="J22" s="40" t="s">
        <v>6</v>
      </c>
      <c r="K22" s="36" t="s">
        <v>6</v>
      </c>
      <c r="L22" s="37" t="s">
        <v>6</v>
      </c>
      <c r="M22" s="58" t="s">
        <v>6</v>
      </c>
      <c r="N22" s="38" t="s">
        <v>6</v>
      </c>
      <c r="O22" s="38" t="s">
        <v>6</v>
      </c>
      <c r="P22" s="36" t="s">
        <v>6</v>
      </c>
      <c r="Q22" s="37" t="s">
        <v>6</v>
      </c>
      <c r="R22" s="38" t="s">
        <v>6</v>
      </c>
      <c r="S22" s="38" t="s">
        <v>6</v>
      </c>
      <c r="T22" s="36" t="s">
        <v>6</v>
      </c>
      <c r="U22" s="37" t="s">
        <v>6</v>
      </c>
      <c r="V22" s="38" t="s">
        <v>6</v>
      </c>
      <c r="W22" s="40" t="s">
        <v>6</v>
      </c>
      <c r="X22" s="41" t="s">
        <v>6</v>
      </c>
      <c r="Y22" s="42" t="s">
        <v>6</v>
      </c>
      <c r="Z22" s="37" t="s">
        <v>6</v>
      </c>
      <c r="AA22" s="43" t="s">
        <v>6</v>
      </c>
      <c r="AB22" s="36" t="s">
        <v>6</v>
      </c>
      <c r="AC22" s="37" t="s">
        <v>6</v>
      </c>
      <c r="AD22" s="38" t="s">
        <v>6</v>
      </c>
      <c r="AE22" s="7">
        <f t="shared" si="0"/>
        <v>3</v>
      </c>
    </row>
    <row r="23" spans="1:31" ht="19.2" x14ac:dyDescent="0.45">
      <c r="A23" s="2" t="s">
        <v>20</v>
      </c>
      <c r="B23" s="39" t="s">
        <v>6</v>
      </c>
      <c r="C23" s="39">
        <v>2</v>
      </c>
      <c r="D23" s="39">
        <v>1</v>
      </c>
      <c r="E23" s="39">
        <v>3</v>
      </c>
      <c r="F23" s="39" t="s">
        <v>6</v>
      </c>
      <c r="G23" s="39" t="s">
        <v>6</v>
      </c>
      <c r="H23" s="58" t="s">
        <v>6</v>
      </c>
      <c r="I23" s="38" t="s">
        <v>6</v>
      </c>
      <c r="J23" s="40" t="s">
        <v>6</v>
      </c>
      <c r="K23" s="36" t="s">
        <v>6</v>
      </c>
      <c r="L23" s="37" t="s">
        <v>6</v>
      </c>
      <c r="M23" s="58" t="s">
        <v>6</v>
      </c>
      <c r="N23" s="38" t="s">
        <v>6</v>
      </c>
      <c r="O23" s="38" t="s">
        <v>6</v>
      </c>
      <c r="P23" s="36" t="s">
        <v>6</v>
      </c>
      <c r="Q23" s="37" t="s">
        <v>6</v>
      </c>
      <c r="R23" s="38" t="s">
        <v>6</v>
      </c>
      <c r="S23" s="38" t="s">
        <v>6</v>
      </c>
      <c r="T23" s="36" t="s">
        <v>6</v>
      </c>
      <c r="U23" s="37" t="s">
        <v>6</v>
      </c>
      <c r="V23" s="38">
        <v>1</v>
      </c>
      <c r="W23" s="40" t="s">
        <v>6</v>
      </c>
      <c r="X23" s="41" t="s">
        <v>6</v>
      </c>
      <c r="Y23" s="42" t="s">
        <v>6</v>
      </c>
      <c r="Z23" s="37" t="s">
        <v>6</v>
      </c>
      <c r="AA23" s="43" t="s">
        <v>6</v>
      </c>
      <c r="AB23" s="36" t="s">
        <v>6</v>
      </c>
      <c r="AC23" s="37" t="s">
        <v>6</v>
      </c>
      <c r="AD23" s="38" t="s">
        <v>6</v>
      </c>
      <c r="AE23" s="7">
        <f t="shared" si="0"/>
        <v>7</v>
      </c>
    </row>
    <row r="24" spans="1:31" ht="19.2" x14ac:dyDescent="0.45">
      <c r="A24" s="2" t="s">
        <v>21</v>
      </c>
      <c r="B24" s="39" t="s">
        <v>6</v>
      </c>
      <c r="C24" s="39" t="s">
        <v>6</v>
      </c>
      <c r="D24" s="39" t="s">
        <v>6</v>
      </c>
      <c r="E24" s="39" t="s">
        <v>6</v>
      </c>
      <c r="F24" s="39">
        <v>1</v>
      </c>
      <c r="G24" s="39" t="s">
        <v>6</v>
      </c>
      <c r="H24" s="58" t="s">
        <v>6</v>
      </c>
      <c r="I24" s="38" t="s">
        <v>6</v>
      </c>
      <c r="J24" s="40" t="s">
        <v>6</v>
      </c>
      <c r="K24" s="36" t="s">
        <v>6</v>
      </c>
      <c r="L24" s="37" t="s">
        <v>6</v>
      </c>
      <c r="M24" s="58" t="s">
        <v>6</v>
      </c>
      <c r="N24" s="38" t="s">
        <v>6</v>
      </c>
      <c r="O24" s="38" t="s">
        <v>6</v>
      </c>
      <c r="P24" s="36" t="s">
        <v>6</v>
      </c>
      <c r="Q24" s="37" t="s">
        <v>6</v>
      </c>
      <c r="R24" s="38" t="s">
        <v>6</v>
      </c>
      <c r="S24" s="38" t="s">
        <v>6</v>
      </c>
      <c r="T24" s="36" t="s">
        <v>6</v>
      </c>
      <c r="U24" s="37" t="s">
        <v>6</v>
      </c>
      <c r="V24" s="38" t="s">
        <v>6</v>
      </c>
      <c r="W24" s="40" t="s">
        <v>6</v>
      </c>
      <c r="X24" s="41" t="s">
        <v>6</v>
      </c>
      <c r="Y24" s="42" t="s">
        <v>6</v>
      </c>
      <c r="Z24" s="37" t="s">
        <v>6</v>
      </c>
      <c r="AA24" s="43" t="s">
        <v>6</v>
      </c>
      <c r="AB24" s="36" t="s">
        <v>6</v>
      </c>
      <c r="AC24" s="37" t="s">
        <v>6</v>
      </c>
      <c r="AD24" s="38" t="s">
        <v>6</v>
      </c>
      <c r="AE24" s="7">
        <f t="shared" si="0"/>
        <v>1</v>
      </c>
    </row>
    <row r="25" spans="1:31" ht="19.2" x14ac:dyDescent="0.45">
      <c r="A25" s="2" t="s">
        <v>22</v>
      </c>
      <c r="B25" s="39" t="s">
        <v>6</v>
      </c>
      <c r="C25" s="39">
        <v>3</v>
      </c>
      <c r="D25" s="39">
        <v>1</v>
      </c>
      <c r="E25" s="39">
        <v>3</v>
      </c>
      <c r="F25" s="39" t="s">
        <v>6</v>
      </c>
      <c r="G25" s="39" t="s">
        <v>6</v>
      </c>
      <c r="H25" s="58" t="s">
        <v>6</v>
      </c>
      <c r="I25" s="38" t="s">
        <v>6</v>
      </c>
      <c r="J25" s="40" t="s">
        <v>6</v>
      </c>
      <c r="K25" s="36" t="s">
        <v>6</v>
      </c>
      <c r="L25" s="37" t="s">
        <v>6</v>
      </c>
      <c r="M25" s="58" t="s">
        <v>6</v>
      </c>
      <c r="N25" s="38" t="s">
        <v>6</v>
      </c>
      <c r="O25" s="38" t="s">
        <v>6</v>
      </c>
      <c r="P25" s="36" t="s">
        <v>6</v>
      </c>
      <c r="Q25" s="37">
        <v>2</v>
      </c>
      <c r="R25" s="38" t="s">
        <v>6</v>
      </c>
      <c r="S25" s="38" t="s">
        <v>6</v>
      </c>
      <c r="T25" s="36" t="s">
        <v>6</v>
      </c>
      <c r="U25" s="37" t="s">
        <v>6</v>
      </c>
      <c r="V25" s="38" t="s">
        <v>6</v>
      </c>
      <c r="W25" s="40" t="s">
        <v>6</v>
      </c>
      <c r="X25" s="41" t="s">
        <v>6</v>
      </c>
      <c r="Y25" s="42" t="s">
        <v>6</v>
      </c>
      <c r="Z25" s="37" t="s">
        <v>6</v>
      </c>
      <c r="AA25" s="43" t="s">
        <v>6</v>
      </c>
      <c r="AB25" s="36" t="s">
        <v>6</v>
      </c>
      <c r="AC25" s="37" t="s">
        <v>6</v>
      </c>
      <c r="AD25" s="38" t="s">
        <v>6</v>
      </c>
      <c r="AE25" s="7">
        <f t="shared" si="0"/>
        <v>9</v>
      </c>
    </row>
    <row r="26" spans="1:31" ht="19.2" x14ac:dyDescent="0.45">
      <c r="A26" s="2" t="s">
        <v>57</v>
      </c>
      <c r="B26" s="39" t="s">
        <v>6</v>
      </c>
      <c r="C26" s="39" t="s">
        <v>6</v>
      </c>
      <c r="D26" s="39">
        <v>1</v>
      </c>
      <c r="E26" s="39" t="s">
        <v>6</v>
      </c>
      <c r="F26" s="39" t="s">
        <v>6</v>
      </c>
      <c r="G26" s="39" t="s">
        <v>6</v>
      </c>
      <c r="H26" s="58" t="s">
        <v>6</v>
      </c>
      <c r="I26" s="38" t="s">
        <v>6</v>
      </c>
      <c r="J26" s="40" t="s">
        <v>6</v>
      </c>
      <c r="K26" s="36" t="s">
        <v>6</v>
      </c>
      <c r="L26" s="37" t="s">
        <v>6</v>
      </c>
      <c r="M26" s="58" t="s">
        <v>6</v>
      </c>
      <c r="N26" s="38" t="s">
        <v>6</v>
      </c>
      <c r="O26" s="38" t="s">
        <v>6</v>
      </c>
      <c r="P26" s="36" t="s">
        <v>6</v>
      </c>
      <c r="Q26" s="37" t="s">
        <v>6</v>
      </c>
      <c r="R26" s="38" t="s">
        <v>6</v>
      </c>
      <c r="S26" s="38" t="s">
        <v>6</v>
      </c>
      <c r="T26" s="36" t="s">
        <v>6</v>
      </c>
      <c r="U26" s="37" t="s">
        <v>6</v>
      </c>
      <c r="V26" s="38" t="s">
        <v>6</v>
      </c>
      <c r="W26" s="40" t="s">
        <v>6</v>
      </c>
      <c r="X26" s="41" t="s">
        <v>6</v>
      </c>
      <c r="Y26" s="42" t="s">
        <v>6</v>
      </c>
      <c r="Z26" s="37" t="s">
        <v>6</v>
      </c>
      <c r="AA26" s="43" t="s">
        <v>6</v>
      </c>
      <c r="AB26" s="36" t="s">
        <v>6</v>
      </c>
      <c r="AC26" s="37" t="s">
        <v>6</v>
      </c>
      <c r="AD26" s="38" t="s">
        <v>6</v>
      </c>
      <c r="AE26" s="7">
        <f t="shared" si="0"/>
        <v>1</v>
      </c>
    </row>
    <row r="27" spans="1:31" ht="19.2" x14ac:dyDescent="0.45">
      <c r="A27" s="2" t="s">
        <v>58</v>
      </c>
      <c r="B27" s="39" t="s">
        <v>6</v>
      </c>
      <c r="C27" s="39">
        <v>1</v>
      </c>
      <c r="D27" s="39" t="s">
        <v>6</v>
      </c>
      <c r="E27" s="39" t="s">
        <v>6</v>
      </c>
      <c r="F27" s="39" t="s">
        <v>6</v>
      </c>
      <c r="G27" s="39" t="s">
        <v>6</v>
      </c>
      <c r="H27" s="58" t="s">
        <v>6</v>
      </c>
      <c r="I27" s="38" t="s">
        <v>6</v>
      </c>
      <c r="J27" s="40" t="s">
        <v>6</v>
      </c>
      <c r="K27" s="36" t="s">
        <v>6</v>
      </c>
      <c r="L27" s="37" t="s">
        <v>6</v>
      </c>
      <c r="M27" s="58" t="s">
        <v>6</v>
      </c>
      <c r="N27" s="38" t="s">
        <v>6</v>
      </c>
      <c r="O27" s="38" t="s">
        <v>6</v>
      </c>
      <c r="P27" s="36" t="s">
        <v>6</v>
      </c>
      <c r="Q27" s="37" t="s">
        <v>6</v>
      </c>
      <c r="R27" s="38" t="s">
        <v>6</v>
      </c>
      <c r="S27" s="38" t="s">
        <v>6</v>
      </c>
      <c r="T27" s="36" t="s">
        <v>6</v>
      </c>
      <c r="U27" s="37" t="s">
        <v>6</v>
      </c>
      <c r="V27" s="38" t="s">
        <v>6</v>
      </c>
      <c r="W27" s="40" t="s">
        <v>6</v>
      </c>
      <c r="X27" s="41" t="s">
        <v>6</v>
      </c>
      <c r="Y27" s="42" t="s">
        <v>6</v>
      </c>
      <c r="Z27" s="37" t="s">
        <v>6</v>
      </c>
      <c r="AA27" s="43" t="s">
        <v>6</v>
      </c>
      <c r="AB27" s="36" t="s">
        <v>6</v>
      </c>
      <c r="AC27" s="37" t="s">
        <v>6</v>
      </c>
      <c r="AD27" s="38" t="s">
        <v>6</v>
      </c>
      <c r="AE27" s="7">
        <v>1</v>
      </c>
    </row>
    <row r="28" spans="1:31" ht="19.2" x14ac:dyDescent="0.45">
      <c r="A28" s="2" t="s">
        <v>23</v>
      </c>
      <c r="B28" s="39" t="s">
        <v>6</v>
      </c>
      <c r="C28" s="39" t="s">
        <v>6</v>
      </c>
      <c r="D28" s="39" t="s">
        <v>6</v>
      </c>
      <c r="E28" s="39">
        <v>1</v>
      </c>
      <c r="F28" s="39" t="s">
        <v>6</v>
      </c>
      <c r="G28" s="39" t="s">
        <v>6</v>
      </c>
      <c r="H28" s="58" t="s">
        <v>6</v>
      </c>
      <c r="I28" s="38" t="s">
        <v>6</v>
      </c>
      <c r="J28" s="40" t="s">
        <v>6</v>
      </c>
      <c r="K28" s="36" t="s">
        <v>6</v>
      </c>
      <c r="L28" s="37" t="s">
        <v>6</v>
      </c>
      <c r="M28" s="58" t="s">
        <v>6</v>
      </c>
      <c r="N28" s="38" t="s">
        <v>6</v>
      </c>
      <c r="O28" s="38" t="s">
        <v>6</v>
      </c>
      <c r="P28" s="36" t="s">
        <v>6</v>
      </c>
      <c r="Q28" s="37" t="s">
        <v>6</v>
      </c>
      <c r="R28" s="38" t="s">
        <v>6</v>
      </c>
      <c r="S28" s="38" t="s">
        <v>6</v>
      </c>
      <c r="T28" s="36" t="s">
        <v>6</v>
      </c>
      <c r="U28" s="37" t="s">
        <v>6</v>
      </c>
      <c r="V28" s="38" t="s">
        <v>6</v>
      </c>
      <c r="W28" s="40" t="s">
        <v>6</v>
      </c>
      <c r="X28" s="41" t="s">
        <v>6</v>
      </c>
      <c r="Y28" s="42" t="s">
        <v>6</v>
      </c>
      <c r="Z28" s="37" t="s">
        <v>6</v>
      </c>
      <c r="AA28" s="43" t="s">
        <v>6</v>
      </c>
      <c r="AB28" s="36" t="s">
        <v>6</v>
      </c>
      <c r="AC28" s="37" t="s">
        <v>6</v>
      </c>
      <c r="AD28" s="38" t="s">
        <v>6</v>
      </c>
      <c r="AE28" s="7">
        <f t="shared" ref="AE28:AE47" si="1">SUM(B28:AD28)</f>
        <v>1</v>
      </c>
    </row>
    <row r="29" spans="1:31" ht="19.2" x14ac:dyDescent="0.45">
      <c r="A29" s="2" t="s">
        <v>24</v>
      </c>
      <c r="B29" s="44" t="s">
        <v>6</v>
      </c>
      <c r="C29" s="44">
        <v>1</v>
      </c>
      <c r="D29" s="44" t="s">
        <v>6</v>
      </c>
      <c r="E29" s="44">
        <v>4</v>
      </c>
      <c r="F29" s="44" t="s">
        <v>6</v>
      </c>
      <c r="G29" s="44" t="s">
        <v>6</v>
      </c>
      <c r="H29" s="58" t="s">
        <v>6</v>
      </c>
      <c r="I29" s="38" t="s">
        <v>6</v>
      </c>
      <c r="J29" s="40" t="s">
        <v>6</v>
      </c>
      <c r="K29" s="36" t="s">
        <v>6</v>
      </c>
      <c r="L29" s="37" t="s">
        <v>6</v>
      </c>
      <c r="M29" s="58" t="s">
        <v>6</v>
      </c>
      <c r="N29" s="38" t="s">
        <v>6</v>
      </c>
      <c r="O29" s="38" t="s">
        <v>6</v>
      </c>
      <c r="P29" s="36" t="s">
        <v>6</v>
      </c>
      <c r="Q29" s="37" t="s">
        <v>6</v>
      </c>
      <c r="R29" s="38" t="s">
        <v>6</v>
      </c>
      <c r="S29" s="38" t="s">
        <v>6</v>
      </c>
      <c r="T29" s="36" t="s">
        <v>6</v>
      </c>
      <c r="U29" s="37" t="s">
        <v>6</v>
      </c>
      <c r="V29" s="38" t="s">
        <v>6</v>
      </c>
      <c r="W29" s="40" t="s">
        <v>6</v>
      </c>
      <c r="X29" s="41" t="s">
        <v>6</v>
      </c>
      <c r="Y29" s="42" t="s">
        <v>6</v>
      </c>
      <c r="Z29" s="37" t="s">
        <v>6</v>
      </c>
      <c r="AA29" s="43" t="s">
        <v>6</v>
      </c>
      <c r="AB29" s="36" t="s">
        <v>6</v>
      </c>
      <c r="AC29" s="37" t="s">
        <v>6</v>
      </c>
      <c r="AD29" s="38" t="s">
        <v>6</v>
      </c>
      <c r="AE29" s="7">
        <f t="shared" si="1"/>
        <v>5</v>
      </c>
    </row>
    <row r="30" spans="1:31" ht="19.2" x14ac:dyDescent="0.45">
      <c r="A30" s="2" t="s">
        <v>25</v>
      </c>
      <c r="B30" s="44" t="s">
        <v>6</v>
      </c>
      <c r="C30" s="44">
        <v>1</v>
      </c>
      <c r="D30" s="44">
        <v>1</v>
      </c>
      <c r="E30" s="44">
        <v>1</v>
      </c>
      <c r="F30" s="44" t="s">
        <v>6</v>
      </c>
      <c r="G30" s="44" t="s">
        <v>6</v>
      </c>
      <c r="H30" s="58" t="s">
        <v>6</v>
      </c>
      <c r="I30" s="38"/>
      <c r="J30" s="40" t="s">
        <v>6</v>
      </c>
      <c r="K30" s="36" t="s">
        <v>6</v>
      </c>
      <c r="L30" s="37" t="s">
        <v>6</v>
      </c>
      <c r="M30" s="58" t="s">
        <v>6</v>
      </c>
      <c r="N30" s="38" t="s">
        <v>6</v>
      </c>
      <c r="O30" s="38" t="s">
        <v>6</v>
      </c>
      <c r="P30" s="36" t="s">
        <v>6</v>
      </c>
      <c r="Q30" s="42" t="s">
        <v>6</v>
      </c>
      <c r="R30" s="38" t="s">
        <v>6</v>
      </c>
      <c r="S30" s="38" t="s">
        <v>6</v>
      </c>
      <c r="T30" s="36" t="s">
        <v>6</v>
      </c>
      <c r="U30" s="37" t="s">
        <v>6</v>
      </c>
      <c r="V30" s="38" t="s">
        <v>6</v>
      </c>
      <c r="W30" s="40" t="s">
        <v>6</v>
      </c>
      <c r="X30" s="41" t="s">
        <v>6</v>
      </c>
      <c r="Y30" s="42" t="s">
        <v>6</v>
      </c>
      <c r="Z30" s="37" t="s">
        <v>6</v>
      </c>
      <c r="AA30" s="43" t="s">
        <v>6</v>
      </c>
      <c r="AB30" s="36" t="s">
        <v>6</v>
      </c>
      <c r="AC30" s="37" t="s">
        <v>6</v>
      </c>
      <c r="AD30" s="38" t="s">
        <v>6</v>
      </c>
      <c r="AE30" s="7">
        <f t="shared" si="1"/>
        <v>3</v>
      </c>
    </row>
    <row r="31" spans="1:31" ht="19.2" x14ac:dyDescent="0.45">
      <c r="A31" s="2" t="s">
        <v>26</v>
      </c>
      <c r="B31" s="44" t="s">
        <v>6</v>
      </c>
      <c r="C31" s="44">
        <v>26</v>
      </c>
      <c r="D31" s="44">
        <v>4</v>
      </c>
      <c r="E31" s="44">
        <v>19</v>
      </c>
      <c r="F31" s="44" t="s">
        <v>6</v>
      </c>
      <c r="G31" s="44">
        <v>4</v>
      </c>
      <c r="H31" s="58" t="s">
        <v>6</v>
      </c>
      <c r="I31" s="38">
        <v>0</v>
      </c>
      <c r="J31" s="40" t="s">
        <v>6</v>
      </c>
      <c r="K31" s="36">
        <v>0</v>
      </c>
      <c r="L31" s="37">
        <v>17</v>
      </c>
      <c r="M31" s="58" t="s">
        <v>6</v>
      </c>
      <c r="N31" s="38" t="s">
        <v>6</v>
      </c>
      <c r="O31" s="38">
        <v>0</v>
      </c>
      <c r="P31" s="36">
        <v>1</v>
      </c>
      <c r="Q31" s="42">
        <v>29</v>
      </c>
      <c r="R31" s="38">
        <v>10</v>
      </c>
      <c r="S31" s="38">
        <v>0</v>
      </c>
      <c r="T31" s="36">
        <v>0</v>
      </c>
      <c r="U31" s="37">
        <v>0</v>
      </c>
      <c r="V31" s="38">
        <v>23</v>
      </c>
      <c r="W31" s="40" t="s">
        <v>6</v>
      </c>
      <c r="X31" s="41" t="s">
        <v>6</v>
      </c>
      <c r="Y31" s="42" t="s">
        <v>6</v>
      </c>
      <c r="Z31" s="37" t="s">
        <v>6</v>
      </c>
      <c r="AA31" s="43" t="s">
        <v>6</v>
      </c>
      <c r="AB31" s="36" t="s">
        <v>6</v>
      </c>
      <c r="AC31" s="37" t="s">
        <v>6</v>
      </c>
      <c r="AD31" s="38" t="s">
        <v>6</v>
      </c>
      <c r="AE31" s="7">
        <f t="shared" si="1"/>
        <v>133</v>
      </c>
    </row>
    <row r="32" spans="1:31" ht="19.2" x14ac:dyDescent="0.45">
      <c r="A32" s="2" t="s">
        <v>49</v>
      </c>
      <c r="B32" s="44" t="s">
        <v>6</v>
      </c>
      <c r="C32" s="44">
        <v>6</v>
      </c>
      <c r="D32" s="44">
        <v>24</v>
      </c>
      <c r="E32" s="44">
        <v>18</v>
      </c>
      <c r="F32" s="44">
        <v>1</v>
      </c>
      <c r="G32" s="44" t="s">
        <v>6</v>
      </c>
      <c r="H32" s="58" t="s">
        <v>6</v>
      </c>
      <c r="I32" s="38">
        <v>16</v>
      </c>
      <c r="J32" s="40" t="s">
        <v>6</v>
      </c>
      <c r="K32" s="36">
        <v>7</v>
      </c>
      <c r="L32" s="37" t="s">
        <v>6</v>
      </c>
      <c r="M32" s="58" t="s">
        <v>6</v>
      </c>
      <c r="N32" s="38" t="s">
        <v>6</v>
      </c>
      <c r="O32" s="38" t="s">
        <v>6</v>
      </c>
      <c r="P32" s="36">
        <v>0</v>
      </c>
      <c r="Q32" s="42">
        <v>4</v>
      </c>
      <c r="R32" s="38" t="s">
        <v>6</v>
      </c>
      <c r="S32" s="38">
        <v>1</v>
      </c>
      <c r="T32" s="36">
        <v>1</v>
      </c>
      <c r="U32" s="37" t="s">
        <v>6</v>
      </c>
      <c r="V32" s="38">
        <v>5</v>
      </c>
      <c r="W32" s="40">
        <v>4</v>
      </c>
      <c r="X32" s="41">
        <v>31</v>
      </c>
      <c r="Y32" s="42" t="s">
        <v>6</v>
      </c>
      <c r="Z32" s="37"/>
      <c r="AA32" s="43">
        <v>2</v>
      </c>
      <c r="AB32" s="36" t="s">
        <v>6</v>
      </c>
      <c r="AC32" s="37" t="s">
        <v>6</v>
      </c>
      <c r="AD32" s="38" t="s">
        <v>6</v>
      </c>
      <c r="AE32" s="7">
        <f t="shared" si="1"/>
        <v>120</v>
      </c>
    </row>
    <row r="33" spans="1:31" ht="20.399999999999999" customHeight="1" x14ac:dyDescent="0.45">
      <c r="A33" s="24" t="s">
        <v>27</v>
      </c>
      <c r="B33" s="44" t="s">
        <v>6</v>
      </c>
      <c r="C33" s="44">
        <v>38</v>
      </c>
      <c r="D33" s="44">
        <v>13</v>
      </c>
      <c r="E33" s="44">
        <v>27</v>
      </c>
      <c r="F33" s="44"/>
      <c r="G33" s="44" t="s">
        <v>6</v>
      </c>
      <c r="H33" s="58" t="s">
        <v>6</v>
      </c>
      <c r="I33" s="38" t="s">
        <v>6</v>
      </c>
      <c r="J33" s="40" t="s">
        <v>6</v>
      </c>
      <c r="K33" s="36">
        <v>0</v>
      </c>
      <c r="L33" s="37">
        <v>18</v>
      </c>
      <c r="M33" s="58" t="s">
        <v>6</v>
      </c>
      <c r="N33" s="38" t="s">
        <v>6</v>
      </c>
      <c r="O33" s="38" t="s">
        <v>6</v>
      </c>
      <c r="P33" s="36">
        <v>0</v>
      </c>
      <c r="Q33" s="42">
        <v>9</v>
      </c>
      <c r="R33" s="38">
        <v>11</v>
      </c>
      <c r="S33" s="38" t="s">
        <v>6</v>
      </c>
      <c r="T33" s="36" t="s">
        <v>6</v>
      </c>
      <c r="U33" s="37">
        <v>0</v>
      </c>
      <c r="V33" s="38">
        <v>31</v>
      </c>
      <c r="W33" s="40" t="s">
        <v>6</v>
      </c>
      <c r="X33" s="41" t="s">
        <v>6</v>
      </c>
      <c r="Y33" s="42" t="s">
        <v>6</v>
      </c>
      <c r="Z33" s="37" t="s">
        <v>6</v>
      </c>
      <c r="AA33" s="43" t="s">
        <v>6</v>
      </c>
      <c r="AB33" s="36" t="s">
        <v>6</v>
      </c>
      <c r="AC33" s="37" t="s">
        <v>6</v>
      </c>
      <c r="AD33" s="38" t="s">
        <v>6</v>
      </c>
      <c r="AE33" s="7">
        <f t="shared" si="1"/>
        <v>147</v>
      </c>
    </row>
    <row r="34" spans="1:31" ht="19.2" x14ac:dyDescent="0.45">
      <c r="A34" s="2" t="s">
        <v>28</v>
      </c>
      <c r="B34" s="44" t="s">
        <v>6</v>
      </c>
      <c r="C34" s="44">
        <v>3</v>
      </c>
      <c r="D34" s="44" t="s">
        <v>6</v>
      </c>
      <c r="E34" s="44">
        <v>4</v>
      </c>
      <c r="F34" s="44" t="s">
        <v>6</v>
      </c>
      <c r="G34" s="44"/>
      <c r="H34" s="58" t="s">
        <v>6</v>
      </c>
      <c r="I34" s="38" t="s">
        <v>6</v>
      </c>
      <c r="J34" s="40" t="s">
        <v>6</v>
      </c>
      <c r="K34" s="36" t="s">
        <v>6</v>
      </c>
      <c r="L34" s="37" t="s">
        <v>6</v>
      </c>
      <c r="M34" s="58" t="s">
        <v>6</v>
      </c>
      <c r="N34" s="38" t="s">
        <v>6</v>
      </c>
      <c r="O34" s="38" t="s">
        <v>6</v>
      </c>
      <c r="P34" s="36" t="s">
        <v>6</v>
      </c>
      <c r="Q34" s="42" t="s">
        <v>6</v>
      </c>
      <c r="R34" s="38" t="s">
        <v>6</v>
      </c>
      <c r="S34" s="38" t="s">
        <v>6</v>
      </c>
      <c r="T34" s="36" t="s">
        <v>6</v>
      </c>
      <c r="U34" s="37" t="s">
        <v>6</v>
      </c>
      <c r="V34" s="38" t="s">
        <v>6</v>
      </c>
      <c r="W34" s="40" t="s">
        <v>6</v>
      </c>
      <c r="X34" s="41" t="s">
        <v>6</v>
      </c>
      <c r="Y34" s="42" t="s">
        <v>6</v>
      </c>
      <c r="Z34" s="37" t="s">
        <v>6</v>
      </c>
      <c r="AA34" s="43" t="s">
        <v>6</v>
      </c>
      <c r="AB34" s="36" t="s">
        <v>6</v>
      </c>
      <c r="AC34" s="37" t="s">
        <v>6</v>
      </c>
      <c r="AD34" s="38" t="s">
        <v>6</v>
      </c>
      <c r="AE34" s="7">
        <f t="shared" si="1"/>
        <v>7</v>
      </c>
    </row>
    <row r="35" spans="1:31" ht="19.2" x14ac:dyDescent="0.45">
      <c r="A35" s="2" t="s">
        <v>29</v>
      </c>
      <c r="B35" s="44" t="s">
        <v>6</v>
      </c>
      <c r="C35" s="44">
        <v>1</v>
      </c>
      <c r="D35" s="44" t="s">
        <v>6</v>
      </c>
      <c r="E35" s="44">
        <v>1</v>
      </c>
      <c r="F35" s="44" t="s">
        <v>6</v>
      </c>
      <c r="G35" s="44" t="s">
        <v>6</v>
      </c>
      <c r="H35" s="58" t="s">
        <v>6</v>
      </c>
      <c r="I35" s="38" t="s">
        <v>6</v>
      </c>
      <c r="J35" s="40" t="s">
        <v>6</v>
      </c>
      <c r="K35" s="36" t="s">
        <v>6</v>
      </c>
      <c r="L35" s="37" t="s">
        <v>6</v>
      </c>
      <c r="M35" s="58" t="s">
        <v>6</v>
      </c>
      <c r="N35" s="38" t="s">
        <v>6</v>
      </c>
      <c r="O35" s="38" t="s">
        <v>6</v>
      </c>
      <c r="P35" s="36" t="s">
        <v>6</v>
      </c>
      <c r="Q35" s="42" t="s">
        <v>6</v>
      </c>
      <c r="R35" s="38" t="s">
        <v>6</v>
      </c>
      <c r="S35" s="38" t="s">
        <v>6</v>
      </c>
      <c r="T35" s="36" t="s">
        <v>6</v>
      </c>
      <c r="U35" s="37" t="s">
        <v>6</v>
      </c>
      <c r="V35" s="38" t="s">
        <v>6</v>
      </c>
      <c r="W35" s="40" t="s">
        <v>6</v>
      </c>
      <c r="X35" s="41" t="s">
        <v>6</v>
      </c>
      <c r="Y35" s="42" t="s">
        <v>6</v>
      </c>
      <c r="Z35" s="37" t="s">
        <v>6</v>
      </c>
      <c r="AA35" s="43" t="s">
        <v>6</v>
      </c>
      <c r="AB35" s="36" t="s">
        <v>6</v>
      </c>
      <c r="AC35" s="37" t="s">
        <v>6</v>
      </c>
      <c r="AD35" s="38" t="s">
        <v>6</v>
      </c>
      <c r="AE35" s="7">
        <f t="shared" si="1"/>
        <v>2</v>
      </c>
    </row>
    <row r="36" spans="1:31" ht="19.2" x14ac:dyDescent="0.45">
      <c r="A36" s="2" t="s">
        <v>30</v>
      </c>
      <c r="B36" s="44" t="s">
        <v>6</v>
      </c>
      <c r="C36" s="44" t="s">
        <v>6</v>
      </c>
      <c r="D36" s="44"/>
      <c r="E36" s="44" t="s">
        <v>6</v>
      </c>
      <c r="F36" s="44">
        <v>1</v>
      </c>
      <c r="G36" s="44" t="s">
        <v>6</v>
      </c>
      <c r="H36" s="58" t="s">
        <v>6</v>
      </c>
      <c r="I36" s="38" t="s">
        <v>6</v>
      </c>
      <c r="J36" s="40" t="s">
        <v>6</v>
      </c>
      <c r="K36" s="36" t="s">
        <v>6</v>
      </c>
      <c r="L36" s="37" t="s">
        <v>6</v>
      </c>
      <c r="M36" s="58" t="s">
        <v>6</v>
      </c>
      <c r="N36" s="38" t="s">
        <v>6</v>
      </c>
      <c r="O36" s="38" t="s">
        <v>6</v>
      </c>
      <c r="P36" s="36" t="s">
        <v>6</v>
      </c>
      <c r="Q36" s="42" t="s">
        <v>6</v>
      </c>
      <c r="R36" s="38" t="s">
        <v>6</v>
      </c>
      <c r="S36" s="38" t="s">
        <v>6</v>
      </c>
      <c r="T36" s="36" t="s">
        <v>6</v>
      </c>
      <c r="U36" s="37" t="s">
        <v>6</v>
      </c>
      <c r="V36" s="38" t="s">
        <v>6</v>
      </c>
      <c r="W36" s="40" t="s">
        <v>6</v>
      </c>
      <c r="X36" s="41" t="s">
        <v>6</v>
      </c>
      <c r="Y36" s="42" t="s">
        <v>6</v>
      </c>
      <c r="Z36" s="37" t="s">
        <v>6</v>
      </c>
      <c r="AA36" s="43" t="s">
        <v>6</v>
      </c>
      <c r="AB36" s="36" t="s">
        <v>6</v>
      </c>
      <c r="AC36" s="37" t="s">
        <v>6</v>
      </c>
      <c r="AD36" s="38" t="s">
        <v>6</v>
      </c>
      <c r="AE36" s="7">
        <f t="shared" si="1"/>
        <v>1</v>
      </c>
    </row>
    <row r="37" spans="1:31" ht="19.2" x14ac:dyDescent="0.45">
      <c r="A37" s="2" t="s">
        <v>31</v>
      </c>
      <c r="B37" s="44" t="s">
        <v>6</v>
      </c>
      <c r="C37" s="44" t="s">
        <v>6</v>
      </c>
      <c r="D37" s="44" t="s">
        <v>6</v>
      </c>
      <c r="E37" s="44">
        <v>2</v>
      </c>
      <c r="F37" s="44" t="s">
        <v>6</v>
      </c>
      <c r="G37" s="44" t="s">
        <v>6</v>
      </c>
      <c r="H37" s="58" t="s">
        <v>6</v>
      </c>
      <c r="I37" s="38" t="s">
        <v>6</v>
      </c>
      <c r="J37" s="40" t="s">
        <v>6</v>
      </c>
      <c r="K37" s="36" t="s">
        <v>6</v>
      </c>
      <c r="L37" s="37" t="s">
        <v>6</v>
      </c>
      <c r="M37" s="58" t="s">
        <v>6</v>
      </c>
      <c r="N37" s="38" t="s">
        <v>6</v>
      </c>
      <c r="O37" s="38" t="s">
        <v>6</v>
      </c>
      <c r="P37" s="36" t="s">
        <v>6</v>
      </c>
      <c r="Q37" s="42" t="s">
        <v>6</v>
      </c>
      <c r="R37" s="38" t="s">
        <v>6</v>
      </c>
      <c r="S37" s="38" t="s">
        <v>6</v>
      </c>
      <c r="T37" s="36" t="s">
        <v>6</v>
      </c>
      <c r="U37" s="37" t="s">
        <v>6</v>
      </c>
      <c r="V37" s="38" t="s">
        <v>6</v>
      </c>
      <c r="W37" s="40" t="s">
        <v>6</v>
      </c>
      <c r="X37" s="41" t="s">
        <v>6</v>
      </c>
      <c r="Y37" s="42" t="s">
        <v>6</v>
      </c>
      <c r="Z37" s="37" t="s">
        <v>6</v>
      </c>
      <c r="AA37" s="43" t="s">
        <v>6</v>
      </c>
      <c r="AB37" s="36" t="s">
        <v>6</v>
      </c>
      <c r="AC37" s="37" t="s">
        <v>6</v>
      </c>
      <c r="AD37" s="38" t="s">
        <v>6</v>
      </c>
      <c r="AE37" s="7">
        <f t="shared" si="1"/>
        <v>2</v>
      </c>
    </row>
    <row r="38" spans="1:31" ht="19.2" x14ac:dyDescent="0.45">
      <c r="A38" s="2" t="s">
        <v>32</v>
      </c>
      <c r="B38" s="44">
        <v>1</v>
      </c>
      <c r="C38" s="44" t="s">
        <v>6</v>
      </c>
      <c r="D38" s="44" t="s">
        <v>6</v>
      </c>
      <c r="E38" s="44" t="s">
        <v>6</v>
      </c>
      <c r="F38" s="44" t="s">
        <v>6</v>
      </c>
      <c r="G38" s="44" t="s">
        <v>6</v>
      </c>
      <c r="H38" s="58" t="s">
        <v>6</v>
      </c>
      <c r="I38" s="38" t="s">
        <v>6</v>
      </c>
      <c r="J38" s="40" t="s">
        <v>6</v>
      </c>
      <c r="K38" s="36" t="s">
        <v>6</v>
      </c>
      <c r="L38" s="37" t="s">
        <v>6</v>
      </c>
      <c r="M38" s="58" t="s">
        <v>6</v>
      </c>
      <c r="N38" s="38" t="s">
        <v>6</v>
      </c>
      <c r="O38" s="38" t="s">
        <v>6</v>
      </c>
      <c r="P38" s="36" t="s">
        <v>6</v>
      </c>
      <c r="Q38" s="42" t="s">
        <v>6</v>
      </c>
      <c r="R38" s="38" t="s">
        <v>6</v>
      </c>
      <c r="S38" s="38" t="s">
        <v>6</v>
      </c>
      <c r="T38" s="36" t="s">
        <v>6</v>
      </c>
      <c r="U38" s="37" t="s">
        <v>6</v>
      </c>
      <c r="V38" s="38" t="s">
        <v>6</v>
      </c>
      <c r="W38" s="40" t="s">
        <v>6</v>
      </c>
      <c r="X38" s="41" t="s">
        <v>6</v>
      </c>
      <c r="Y38" s="42" t="s">
        <v>6</v>
      </c>
      <c r="Z38" s="37" t="s">
        <v>6</v>
      </c>
      <c r="AA38" s="43" t="s">
        <v>6</v>
      </c>
      <c r="AB38" s="36" t="s">
        <v>6</v>
      </c>
      <c r="AC38" s="37" t="s">
        <v>6</v>
      </c>
      <c r="AD38" s="38" t="s">
        <v>6</v>
      </c>
      <c r="AE38" s="7">
        <f t="shared" si="1"/>
        <v>1</v>
      </c>
    </row>
    <row r="39" spans="1:31" ht="19.2" x14ac:dyDescent="0.45">
      <c r="A39" s="2" t="s">
        <v>33</v>
      </c>
      <c r="B39" s="44" t="s">
        <v>6</v>
      </c>
      <c r="C39" s="44">
        <v>2</v>
      </c>
      <c r="D39" s="44" t="s">
        <v>6</v>
      </c>
      <c r="E39" s="44">
        <v>2</v>
      </c>
      <c r="F39" s="44" t="s">
        <v>6</v>
      </c>
      <c r="G39" s="44" t="s">
        <v>6</v>
      </c>
      <c r="H39" s="58" t="s">
        <v>6</v>
      </c>
      <c r="I39" s="38" t="s">
        <v>6</v>
      </c>
      <c r="J39" s="40" t="s">
        <v>6</v>
      </c>
      <c r="K39" s="36" t="s">
        <v>6</v>
      </c>
      <c r="L39" s="37" t="s">
        <v>6</v>
      </c>
      <c r="M39" s="58" t="s">
        <v>6</v>
      </c>
      <c r="N39" s="38" t="s">
        <v>6</v>
      </c>
      <c r="O39" s="38" t="s">
        <v>6</v>
      </c>
      <c r="P39" s="36" t="s">
        <v>6</v>
      </c>
      <c r="Q39" s="42" t="s">
        <v>6</v>
      </c>
      <c r="R39" s="38" t="s">
        <v>6</v>
      </c>
      <c r="S39" s="38" t="s">
        <v>6</v>
      </c>
      <c r="T39" s="36" t="s">
        <v>6</v>
      </c>
      <c r="U39" s="37" t="s">
        <v>6</v>
      </c>
      <c r="V39" s="38" t="s">
        <v>6</v>
      </c>
      <c r="W39" s="40" t="s">
        <v>6</v>
      </c>
      <c r="X39" s="41" t="s">
        <v>6</v>
      </c>
      <c r="Y39" s="42" t="s">
        <v>6</v>
      </c>
      <c r="Z39" s="37"/>
      <c r="AA39" s="43" t="s">
        <v>6</v>
      </c>
      <c r="AB39" s="36" t="s">
        <v>6</v>
      </c>
      <c r="AC39" s="37" t="s">
        <v>6</v>
      </c>
      <c r="AD39" s="38" t="s">
        <v>6</v>
      </c>
      <c r="AE39" s="7">
        <f t="shared" si="1"/>
        <v>4</v>
      </c>
    </row>
    <row r="40" spans="1:31" ht="19.2" x14ac:dyDescent="0.45">
      <c r="A40" s="2" t="s">
        <v>34</v>
      </c>
      <c r="B40" s="44" t="s">
        <v>6</v>
      </c>
      <c r="C40" s="44">
        <v>29</v>
      </c>
      <c r="D40" s="44">
        <v>4</v>
      </c>
      <c r="E40" s="44">
        <v>5</v>
      </c>
      <c r="F40" s="44">
        <v>2</v>
      </c>
      <c r="G40" s="44" t="s">
        <v>6</v>
      </c>
      <c r="H40" s="58">
        <v>0</v>
      </c>
      <c r="I40" s="38">
        <v>15</v>
      </c>
      <c r="J40" s="40" t="s">
        <v>6</v>
      </c>
      <c r="K40" s="36">
        <v>13</v>
      </c>
      <c r="L40" s="37" t="s">
        <v>6</v>
      </c>
      <c r="M40" s="58" t="s">
        <v>6</v>
      </c>
      <c r="N40" s="38" t="s">
        <v>6</v>
      </c>
      <c r="O40" s="38">
        <v>6</v>
      </c>
      <c r="P40" s="36">
        <v>5</v>
      </c>
      <c r="Q40" s="42">
        <v>12</v>
      </c>
      <c r="R40" s="38">
        <v>20</v>
      </c>
      <c r="S40" s="38" t="s">
        <v>6</v>
      </c>
      <c r="T40" s="36" t="s">
        <v>6</v>
      </c>
      <c r="U40" s="37" t="s">
        <v>6</v>
      </c>
      <c r="V40" s="38" t="s">
        <v>6</v>
      </c>
      <c r="W40" s="40" t="s">
        <v>6</v>
      </c>
      <c r="X40" s="41">
        <v>26</v>
      </c>
      <c r="Y40" s="42" t="s">
        <v>6</v>
      </c>
      <c r="Z40" s="37"/>
      <c r="AA40" s="43" t="s">
        <v>6</v>
      </c>
      <c r="AB40" s="36" t="s">
        <v>6</v>
      </c>
      <c r="AC40" s="37" t="s">
        <v>6</v>
      </c>
      <c r="AD40" s="38" t="s">
        <v>6</v>
      </c>
      <c r="AE40" s="7">
        <f t="shared" si="1"/>
        <v>137</v>
      </c>
    </row>
    <row r="41" spans="1:31" ht="19.2" x14ac:dyDescent="0.45">
      <c r="A41" s="2" t="s">
        <v>35</v>
      </c>
      <c r="B41" s="44" t="s">
        <v>6</v>
      </c>
      <c r="C41" s="44">
        <v>9</v>
      </c>
      <c r="D41" s="44">
        <v>11</v>
      </c>
      <c r="E41" s="44">
        <v>6</v>
      </c>
      <c r="F41" s="44" t="s">
        <v>6</v>
      </c>
      <c r="G41" s="44" t="s">
        <v>6</v>
      </c>
      <c r="H41" s="58" t="s">
        <v>6</v>
      </c>
      <c r="I41" s="38" t="s">
        <v>6</v>
      </c>
      <c r="J41" s="40" t="s">
        <v>6</v>
      </c>
      <c r="K41" s="36" t="s">
        <v>6</v>
      </c>
      <c r="L41" s="37" t="s">
        <v>6</v>
      </c>
      <c r="M41" s="58">
        <v>25</v>
      </c>
      <c r="N41" s="38">
        <v>6</v>
      </c>
      <c r="O41" s="38">
        <v>7</v>
      </c>
      <c r="P41" s="36" t="s">
        <v>6</v>
      </c>
      <c r="Q41" s="42" t="s">
        <v>6</v>
      </c>
      <c r="R41" s="38" t="s">
        <v>6</v>
      </c>
      <c r="S41" s="38" t="s">
        <v>6</v>
      </c>
      <c r="T41" s="36" t="s">
        <v>6</v>
      </c>
      <c r="U41" s="37" t="s">
        <v>6</v>
      </c>
      <c r="V41" s="38" t="s">
        <v>6</v>
      </c>
      <c r="W41" s="40" t="s">
        <v>6</v>
      </c>
      <c r="X41" s="41" t="s">
        <v>6</v>
      </c>
      <c r="Y41" s="42" t="s">
        <v>6</v>
      </c>
      <c r="Z41" s="37" t="s">
        <v>6</v>
      </c>
      <c r="AA41" s="43" t="s">
        <v>6</v>
      </c>
      <c r="AB41" s="36" t="s">
        <v>6</v>
      </c>
      <c r="AC41" s="37" t="s">
        <v>6</v>
      </c>
      <c r="AD41" s="38" t="s">
        <v>6</v>
      </c>
      <c r="AE41" s="7">
        <f t="shared" si="1"/>
        <v>64</v>
      </c>
    </row>
    <row r="42" spans="1:31" ht="19.2" x14ac:dyDescent="0.45">
      <c r="A42" s="2" t="s">
        <v>36</v>
      </c>
      <c r="B42" s="44" t="s">
        <v>6</v>
      </c>
      <c r="C42" s="44" t="s">
        <v>6</v>
      </c>
      <c r="D42" s="44" t="s">
        <v>6</v>
      </c>
      <c r="E42" s="44">
        <v>2</v>
      </c>
      <c r="F42" s="44" t="s">
        <v>6</v>
      </c>
      <c r="G42" s="44" t="s">
        <v>6</v>
      </c>
      <c r="H42" s="58" t="s">
        <v>6</v>
      </c>
      <c r="I42" s="38" t="s">
        <v>6</v>
      </c>
      <c r="J42" s="40">
        <v>3</v>
      </c>
      <c r="K42" s="36" t="s">
        <v>6</v>
      </c>
      <c r="L42" s="37" t="s">
        <v>6</v>
      </c>
      <c r="M42" s="58" t="s">
        <v>6</v>
      </c>
      <c r="N42" s="38" t="s">
        <v>6</v>
      </c>
      <c r="O42" s="38" t="s">
        <v>6</v>
      </c>
      <c r="P42" s="36" t="s">
        <v>6</v>
      </c>
      <c r="Q42" s="37" t="s">
        <v>6</v>
      </c>
      <c r="R42" s="38" t="s">
        <v>6</v>
      </c>
      <c r="S42" s="38" t="s">
        <v>6</v>
      </c>
      <c r="T42" s="36" t="s">
        <v>6</v>
      </c>
      <c r="U42" s="37" t="s">
        <v>6</v>
      </c>
      <c r="V42" s="38" t="s">
        <v>6</v>
      </c>
      <c r="W42" s="40" t="s">
        <v>6</v>
      </c>
      <c r="X42" s="41" t="s">
        <v>6</v>
      </c>
      <c r="Y42" s="42" t="s">
        <v>6</v>
      </c>
      <c r="Z42" s="37" t="s">
        <v>6</v>
      </c>
      <c r="AA42" s="43" t="s">
        <v>6</v>
      </c>
      <c r="AB42" s="36" t="s">
        <v>6</v>
      </c>
      <c r="AC42" s="37" t="s">
        <v>6</v>
      </c>
      <c r="AD42" s="38" t="s">
        <v>6</v>
      </c>
      <c r="AE42" s="7">
        <f t="shared" si="1"/>
        <v>5</v>
      </c>
    </row>
    <row r="43" spans="1:31" ht="19.2" x14ac:dyDescent="0.45">
      <c r="A43" s="2" t="s">
        <v>37</v>
      </c>
      <c r="B43" s="44" t="s">
        <v>6</v>
      </c>
      <c r="C43" s="44" t="s">
        <v>6</v>
      </c>
      <c r="D43" s="44" t="s">
        <v>6</v>
      </c>
      <c r="E43" s="44" t="s">
        <v>6</v>
      </c>
      <c r="F43" s="44" t="s">
        <v>6</v>
      </c>
      <c r="G43" s="44" t="s">
        <v>6</v>
      </c>
      <c r="H43" s="58" t="s">
        <v>6</v>
      </c>
      <c r="I43" s="38" t="s">
        <v>6</v>
      </c>
      <c r="J43" s="40" t="s">
        <v>6</v>
      </c>
      <c r="K43" s="36" t="s">
        <v>6</v>
      </c>
      <c r="L43" s="37" t="s">
        <v>6</v>
      </c>
      <c r="M43" s="58" t="s">
        <v>6</v>
      </c>
      <c r="N43" s="38" t="s">
        <v>6</v>
      </c>
      <c r="O43" s="38" t="s">
        <v>6</v>
      </c>
      <c r="P43" s="36" t="s">
        <v>6</v>
      </c>
      <c r="Q43" s="37" t="s">
        <v>6</v>
      </c>
      <c r="R43" s="38" t="s">
        <v>6</v>
      </c>
      <c r="S43" s="38" t="s">
        <v>6</v>
      </c>
      <c r="T43" s="36" t="s">
        <v>6</v>
      </c>
      <c r="U43" s="37" t="s">
        <v>6</v>
      </c>
      <c r="V43" s="38" t="s">
        <v>6</v>
      </c>
      <c r="W43" s="40" t="s">
        <v>6</v>
      </c>
      <c r="X43" s="41" t="s">
        <v>6</v>
      </c>
      <c r="Y43" s="42" t="s">
        <v>6</v>
      </c>
      <c r="Z43" s="37" t="s">
        <v>6</v>
      </c>
      <c r="AA43" s="43" t="s">
        <v>6</v>
      </c>
      <c r="AB43" s="45" t="s">
        <v>6</v>
      </c>
      <c r="AC43" s="37" t="s">
        <v>6</v>
      </c>
      <c r="AD43" s="38" t="s">
        <v>6</v>
      </c>
      <c r="AE43" s="7">
        <f t="shared" si="1"/>
        <v>0</v>
      </c>
    </row>
    <row r="44" spans="1:31" ht="19.2" x14ac:dyDescent="0.45">
      <c r="A44" s="2" t="s">
        <v>38</v>
      </c>
      <c r="B44" s="44" t="s">
        <v>6</v>
      </c>
      <c r="C44" s="44" t="s">
        <v>6</v>
      </c>
      <c r="D44" s="44">
        <v>1</v>
      </c>
      <c r="E44" s="44" t="s">
        <v>6</v>
      </c>
      <c r="F44" s="44" t="s">
        <v>6</v>
      </c>
      <c r="G44" s="44" t="s">
        <v>6</v>
      </c>
      <c r="H44" s="58" t="s">
        <v>6</v>
      </c>
      <c r="I44" s="38" t="s">
        <v>6</v>
      </c>
      <c r="J44" s="40" t="s">
        <v>6</v>
      </c>
      <c r="K44" s="36" t="s">
        <v>6</v>
      </c>
      <c r="L44" s="37" t="s">
        <v>6</v>
      </c>
      <c r="M44" s="58" t="s">
        <v>6</v>
      </c>
      <c r="N44" s="38" t="s">
        <v>6</v>
      </c>
      <c r="O44" s="38" t="s">
        <v>6</v>
      </c>
      <c r="P44" s="36" t="s">
        <v>6</v>
      </c>
      <c r="Q44" s="37" t="s">
        <v>6</v>
      </c>
      <c r="R44" s="38" t="s">
        <v>6</v>
      </c>
      <c r="S44" s="38" t="s">
        <v>6</v>
      </c>
      <c r="T44" s="36" t="s">
        <v>6</v>
      </c>
      <c r="U44" s="37" t="s">
        <v>6</v>
      </c>
      <c r="V44" s="38" t="s">
        <v>6</v>
      </c>
      <c r="W44" s="40" t="s">
        <v>6</v>
      </c>
      <c r="X44" s="41" t="s">
        <v>6</v>
      </c>
      <c r="Y44" s="42" t="s">
        <v>6</v>
      </c>
      <c r="Z44" s="37" t="s">
        <v>6</v>
      </c>
      <c r="AA44" s="43" t="s">
        <v>6</v>
      </c>
      <c r="AB44" s="45" t="s">
        <v>6</v>
      </c>
      <c r="AC44" s="37" t="s">
        <v>6</v>
      </c>
      <c r="AD44" s="38" t="s">
        <v>6</v>
      </c>
      <c r="AE44" s="7">
        <f t="shared" si="1"/>
        <v>1</v>
      </c>
    </row>
    <row r="45" spans="1:31" ht="19.2" x14ac:dyDescent="0.45">
      <c r="A45" s="3" t="s">
        <v>39</v>
      </c>
      <c r="B45" s="46" t="s">
        <v>6</v>
      </c>
      <c r="C45" s="46" t="s">
        <v>6</v>
      </c>
      <c r="D45" s="46" t="s">
        <v>6</v>
      </c>
      <c r="E45" s="46"/>
      <c r="F45" s="46" t="s">
        <v>6</v>
      </c>
      <c r="G45" s="46" t="s">
        <v>6</v>
      </c>
      <c r="H45" s="58" t="s">
        <v>6</v>
      </c>
      <c r="I45" s="38" t="s">
        <v>6</v>
      </c>
      <c r="J45" s="40" t="s">
        <v>6</v>
      </c>
      <c r="K45" s="36" t="s">
        <v>6</v>
      </c>
      <c r="L45" s="37" t="s">
        <v>6</v>
      </c>
      <c r="M45" s="58" t="s">
        <v>6</v>
      </c>
      <c r="N45" s="38" t="s">
        <v>6</v>
      </c>
      <c r="O45" s="38">
        <v>13</v>
      </c>
      <c r="P45" s="36" t="s">
        <v>6</v>
      </c>
      <c r="Q45" s="37" t="s">
        <v>6</v>
      </c>
      <c r="R45" s="38" t="s">
        <v>6</v>
      </c>
      <c r="S45" s="38" t="s">
        <v>6</v>
      </c>
      <c r="T45" s="36" t="s">
        <v>6</v>
      </c>
      <c r="U45" s="37" t="s">
        <v>6</v>
      </c>
      <c r="V45" s="38"/>
      <c r="W45" s="40" t="s">
        <v>6</v>
      </c>
      <c r="X45" s="41" t="s">
        <v>6</v>
      </c>
      <c r="Y45" s="42" t="s">
        <v>6</v>
      </c>
      <c r="Z45" s="37" t="s">
        <v>6</v>
      </c>
      <c r="AA45" s="47">
        <v>0</v>
      </c>
      <c r="AB45" s="45"/>
      <c r="AC45" s="37" t="s">
        <v>6</v>
      </c>
      <c r="AD45" s="38">
        <v>4</v>
      </c>
      <c r="AE45" s="7">
        <f t="shared" si="1"/>
        <v>17</v>
      </c>
    </row>
    <row r="46" spans="1:31" ht="19.8" thickBot="1" x14ac:dyDescent="0.5">
      <c r="A46" s="3" t="s">
        <v>52</v>
      </c>
      <c r="B46" s="46"/>
      <c r="C46" s="46"/>
      <c r="D46" s="46"/>
      <c r="E46" s="46" t="s">
        <v>6</v>
      </c>
      <c r="F46" s="46" t="s">
        <v>6</v>
      </c>
      <c r="G46" s="46" t="s">
        <v>6</v>
      </c>
      <c r="H46" s="58" t="s">
        <v>6</v>
      </c>
      <c r="I46" s="38" t="s">
        <v>6</v>
      </c>
      <c r="J46" s="40" t="s">
        <v>6</v>
      </c>
      <c r="K46" s="48" t="s">
        <v>6</v>
      </c>
      <c r="L46" s="49" t="s">
        <v>6</v>
      </c>
      <c r="M46" s="59" t="s">
        <v>6</v>
      </c>
      <c r="N46" s="50" t="s">
        <v>6</v>
      </c>
      <c r="O46" s="50" t="s">
        <v>6</v>
      </c>
      <c r="P46" s="36" t="s">
        <v>6</v>
      </c>
      <c r="Q46" s="37" t="s">
        <v>6</v>
      </c>
      <c r="R46" s="38" t="s">
        <v>6</v>
      </c>
      <c r="S46" s="38" t="s">
        <v>6</v>
      </c>
      <c r="T46" s="48" t="s">
        <v>6</v>
      </c>
      <c r="U46" s="79" t="s">
        <v>6</v>
      </c>
      <c r="V46" s="50" t="s">
        <v>6</v>
      </c>
      <c r="W46" s="40" t="s">
        <v>6</v>
      </c>
      <c r="X46" s="41" t="s">
        <v>6</v>
      </c>
      <c r="Y46" s="42" t="s">
        <v>6</v>
      </c>
      <c r="Z46" s="37" t="s">
        <v>6</v>
      </c>
      <c r="AA46" s="51" t="s">
        <v>6</v>
      </c>
      <c r="AB46" s="45" t="s">
        <v>6</v>
      </c>
      <c r="AC46" s="37" t="s">
        <v>6</v>
      </c>
      <c r="AD46" s="38" t="s">
        <v>6</v>
      </c>
      <c r="AE46" s="7">
        <f t="shared" si="1"/>
        <v>0</v>
      </c>
    </row>
    <row r="47" spans="1:31" s="6" customFormat="1" ht="28.95" customHeight="1" thickTop="1" thickBot="1" x14ac:dyDescent="0.35">
      <c r="A47" s="4" t="s">
        <v>40</v>
      </c>
      <c r="B47" s="5">
        <f t="shared" ref="B47:AC47" si="2">SUM(B5:B46)</f>
        <v>19</v>
      </c>
      <c r="C47" s="5">
        <f t="shared" si="2"/>
        <v>129</v>
      </c>
      <c r="D47" s="5">
        <f t="shared" si="2"/>
        <v>64</v>
      </c>
      <c r="E47" s="5">
        <f t="shared" si="2"/>
        <v>112</v>
      </c>
      <c r="F47" s="5">
        <f t="shared" si="2"/>
        <v>6</v>
      </c>
      <c r="G47" s="5">
        <f t="shared" si="2"/>
        <v>4</v>
      </c>
      <c r="H47" s="5">
        <f t="shared" si="2"/>
        <v>0</v>
      </c>
      <c r="I47" s="5">
        <f t="shared" si="2"/>
        <v>31</v>
      </c>
      <c r="J47" s="5">
        <f t="shared" si="2"/>
        <v>3</v>
      </c>
      <c r="K47" s="5">
        <f t="shared" si="2"/>
        <v>20</v>
      </c>
      <c r="L47" s="5">
        <f t="shared" si="2"/>
        <v>35</v>
      </c>
      <c r="M47" s="5">
        <f t="shared" si="2"/>
        <v>25</v>
      </c>
      <c r="N47" s="5">
        <f t="shared" si="2"/>
        <v>6</v>
      </c>
      <c r="O47" s="5">
        <f t="shared" si="2"/>
        <v>26</v>
      </c>
      <c r="P47" s="5">
        <f t="shared" si="2"/>
        <v>6</v>
      </c>
      <c r="Q47" s="5">
        <f t="shared" si="2"/>
        <v>56</v>
      </c>
      <c r="R47" s="5">
        <f t="shared" si="2"/>
        <v>41</v>
      </c>
      <c r="S47" s="5">
        <f t="shared" si="2"/>
        <v>1</v>
      </c>
      <c r="T47" s="5">
        <f t="shared" si="2"/>
        <v>1</v>
      </c>
      <c r="U47" s="5">
        <f t="shared" si="2"/>
        <v>0</v>
      </c>
      <c r="V47" s="5">
        <f t="shared" si="2"/>
        <v>60</v>
      </c>
      <c r="W47" s="5">
        <f t="shared" si="2"/>
        <v>4</v>
      </c>
      <c r="X47" s="5">
        <f t="shared" si="2"/>
        <v>57</v>
      </c>
      <c r="Y47" s="5">
        <f t="shared" si="2"/>
        <v>0</v>
      </c>
      <c r="Z47" s="5">
        <f t="shared" si="2"/>
        <v>0</v>
      </c>
      <c r="AA47" s="5">
        <f t="shared" si="2"/>
        <v>2</v>
      </c>
      <c r="AB47" s="5">
        <f t="shared" si="2"/>
        <v>0</v>
      </c>
      <c r="AC47" s="5">
        <f t="shared" si="2"/>
        <v>0</v>
      </c>
      <c r="AD47" s="5">
        <f>SUM(AD5:AD46)</f>
        <v>4</v>
      </c>
      <c r="AE47" s="17">
        <f t="shared" si="1"/>
        <v>712</v>
      </c>
    </row>
    <row r="48" spans="1:31" ht="18.600000000000001" thickTop="1" x14ac:dyDescent="0.45"/>
    <row r="49" spans="4:31" x14ac:dyDescent="0.45">
      <c r="D49" s="9"/>
    </row>
    <row r="51" spans="4:31" ht="14.4" x14ac:dyDescent="0.3">
      <c r="AD51" s="80" t="s">
        <v>71</v>
      </c>
      <c r="AE51" s="81">
        <f>SUM(B29:AD46)</f>
        <v>649</v>
      </c>
    </row>
    <row r="52" spans="4:31" ht="14.4" x14ac:dyDescent="0.3">
      <c r="AD52" s="80" t="s">
        <v>72</v>
      </c>
      <c r="AE52" s="81">
        <f>SUM(B5:AD28)</f>
        <v>63</v>
      </c>
    </row>
    <row r="53" spans="4:31" ht="14.4" x14ac:dyDescent="0.3">
      <c r="AD53" s="82" t="s">
        <v>40</v>
      </c>
      <c r="AE53" s="83">
        <f>SUM(AE51:AE52)</f>
        <v>712</v>
      </c>
    </row>
    <row r="54" spans="4:31" ht="24" customHeight="1" x14ac:dyDescent="0.3">
      <c r="AE54"/>
    </row>
    <row r="55" spans="4:31" ht="44.25" customHeight="1" x14ac:dyDescent="0.3">
      <c r="AE55"/>
    </row>
    <row r="104" spans="14:15" x14ac:dyDescent="0.45">
      <c r="N104" s="10"/>
      <c r="O104" s="10"/>
    </row>
  </sheetData>
  <mergeCells count="11">
    <mergeCell ref="AE1:AE4"/>
    <mergeCell ref="H3:I3"/>
    <mergeCell ref="AB3:AD3"/>
    <mergeCell ref="A1:AD1"/>
    <mergeCell ref="X3:Z3"/>
    <mergeCell ref="K3:L3"/>
    <mergeCell ref="P3:R3"/>
    <mergeCell ref="M3:N3"/>
    <mergeCell ref="T3:V3"/>
    <mergeCell ref="A2:AD2"/>
    <mergeCell ref="B3:G3"/>
  </mergeCells>
  <phoneticPr fontId="4" type="noConversion"/>
  <pageMargins left="0.7" right="0.7" top="0.75" bottom="0.75" header="0.3" footer="0.3"/>
  <pageSetup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20E1-83EF-49C9-8B12-0B2DADBE2C4A}">
  <sheetPr codeName="Sheet2"/>
  <dimension ref="A1:E20"/>
  <sheetViews>
    <sheetView workbookViewId="0">
      <selection activeCell="K33" sqref="K33"/>
    </sheetView>
  </sheetViews>
  <sheetFormatPr defaultRowHeight="14.4" x14ac:dyDescent="0.3"/>
  <cols>
    <col min="1" max="1" width="25" bestFit="1" customWidth="1"/>
    <col min="2" max="4" width="9.44140625" style="10" bestFit="1" customWidth="1"/>
    <col min="5" max="5" width="10.33203125" style="10" customWidth="1"/>
  </cols>
  <sheetData>
    <row r="1" spans="1:5" ht="18" x14ac:dyDescent="0.35">
      <c r="A1" s="109">
        <v>46011</v>
      </c>
      <c r="B1" s="110"/>
      <c r="C1" s="110"/>
      <c r="D1" s="110"/>
      <c r="E1" s="110"/>
    </row>
    <row r="2" spans="1:5" ht="18" x14ac:dyDescent="0.3">
      <c r="A2" s="106" t="s">
        <v>67</v>
      </c>
      <c r="B2" s="107"/>
      <c r="C2" s="107"/>
      <c r="D2" s="107"/>
      <c r="E2" s="108"/>
    </row>
    <row r="3" spans="1:5" ht="15.6" x14ac:dyDescent="0.3">
      <c r="A3" s="69" t="s">
        <v>65</v>
      </c>
      <c r="B3" s="70" t="s">
        <v>42</v>
      </c>
      <c r="C3" s="70" t="s">
        <v>3</v>
      </c>
      <c r="D3" s="70" t="s">
        <v>2</v>
      </c>
      <c r="E3" s="71" t="s">
        <v>68</v>
      </c>
    </row>
    <row r="4" spans="1:5" x14ac:dyDescent="0.3">
      <c r="A4" s="67" t="s">
        <v>66</v>
      </c>
      <c r="B4" s="72">
        <v>1</v>
      </c>
      <c r="C4" s="72">
        <v>4</v>
      </c>
      <c r="D4" s="72">
        <v>0</v>
      </c>
      <c r="E4" s="74">
        <v>0</v>
      </c>
    </row>
    <row r="5" spans="1:5" x14ac:dyDescent="0.3">
      <c r="A5" s="68" t="s">
        <v>25</v>
      </c>
      <c r="B5" s="73">
        <v>1</v>
      </c>
      <c r="C5" s="73">
        <v>0</v>
      </c>
      <c r="D5" s="73">
        <v>2</v>
      </c>
      <c r="E5" s="75" t="s">
        <v>6</v>
      </c>
    </row>
    <row r="6" spans="1:5" x14ac:dyDescent="0.3">
      <c r="A6" s="67" t="s">
        <v>26</v>
      </c>
      <c r="B6" s="72">
        <f>'Summary SI, Rental &amp; Subcon'!C31+'Summary SI, Rental &amp; Subcon'!L31+'Summary SI, Rental &amp; Subcon'!O31+'Summary SI, Rental &amp; Subcon'!Q31+'Summary SI, Rental &amp; Subcon'!S31+'Summary SI, Rental &amp; Subcon'!T31</f>
        <v>72</v>
      </c>
      <c r="C6" s="72">
        <f>'Summary SI, Rental &amp; Subcon'!E31+'Summary SI, Rental &amp; Subcon'!R31+'Summary SI, Rental &amp; Subcon'!V31</f>
        <v>52</v>
      </c>
      <c r="D6" s="72">
        <v>5</v>
      </c>
      <c r="E6" s="74">
        <v>4</v>
      </c>
    </row>
    <row r="7" spans="1:5" x14ac:dyDescent="0.3">
      <c r="A7" s="68" t="s">
        <v>49</v>
      </c>
      <c r="B7" s="73">
        <f>'Summary SI, Rental &amp; Subcon'!C32+'Summary SI, Rental &amp; Subcon'!I32+'Summary SI, Rental &amp; Subcon'!Q32+'Summary SI, Rental &amp; Subcon'!S32+'Summary SI, Rental &amp; Subcon'!T32</f>
        <v>28</v>
      </c>
      <c r="C7" s="73">
        <f>'Summary SI, Rental &amp; Subcon'!E32+'Summary SI, Rental &amp; Subcon'!K32+'Summary SI, Rental &amp; Subcon'!V32+'Summary SI, Rental &amp; Subcon'!W32+'Summary SI, Rental &amp; Subcon'!X32+'Summary SI, Rental &amp; Subcon'!AA32</f>
        <v>67</v>
      </c>
      <c r="D7" s="73">
        <f>'Summary SI, Rental &amp; Subcon'!D32</f>
        <v>24</v>
      </c>
      <c r="E7" s="75">
        <v>1</v>
      </c>
    </row>
    <row r="8" spans="1:5" x14ac:dyDescent="0.3">
      <c r="A8" s="67" t="s">
        <v>27</v>
      </c>
      <c r="B8" s="72">
        <f>'Summary SI, Rental &amp; Subcon'!C33+'Summary SI, Rental &amp; Subcon'!L33+'Summary SI, Rental &amp; Subcon'!Q33</f>
        <v>65</v>
      </c>
      <c r="C8" s="72">
        <f>'Summary SI, Rental &amp; Subcon'!E33+'Summary SI, Rental &amp; Subcon'!R33+'Summary SI, Rental &amp; Subcon'!V33</f>
        <v>69</v>
      </c>
      <c r="D8" s="72">
        <f>'Summary SI, Rental &amp; Subcon'!D33</f>
        <v>13</v>
      </c>
      <c r="E8" s="74">
        <v>0</v>
      </c>
    </row>
    <row r="9" spans="1:5" x14ac:dyDescent="0.3">
      <c r="A9" s="68" t="s">
        <v>28</v>
      </c>
      <c r="B9" s="73">
        <v>3</v>
      </c>
      <c r="C9" s="73">
        <v>4</v>
      </c>
      <c r="D9" s="73" t="s">
        <v>6</v>
      </c>
      <c r="E9" s="75" t="s">
        <v>6</v>
      </c>
    </row>
    <row r="10" spans="1:5" x14ac:dyDescent="0.3">
      <c r="A10" s="67" t="s">
        <v>29</v>
      </c>
      <c r="B10" s="72">
        <v>1</v>
      </c>
      <c r="C10" s="72">
        <v>1</v>
      </c>
      <c r="D10" s="72" t="s">
        <v>6</v>
      </c>
      <c r="E10" s="74" t="s">
        <v>6</v>
      </c>
    </row>
    <row r="11" spans="1:5" x14ac:dyDescent="0.3">
      <c r="A11" s="68" t="s">
        <v>30</v>
      </c>
      <c r="B11" s="73"/>
      <c r="C11" s="73"/>
      <c r="D11" s="73" t="s">
        <v>6</v>
      </c>
      <c r="E11" s="75">
        <v>1</v>
      </c>
    </row>
    <row r="12" spans="1:5" x14ac:dyDescent="0.3">
      <c r="A12" s="67" t="s">
        <v>31</v>
      </c>
      <c r="B12" s="72">
        <v>1</v>
      </c>
      <c r="C12" s="72">
        <v>1</v>
      </c>
      <c r="D12" s="72" t="s">
        <v>6</v>
      </c>
      <c r="E12" s="74" t="s">
        <v>6</v>
      </c>
    </row>
    <row r="13" spans="1:5" x14ac:dyDescent="0.3">
      <c r="A13" s="68" t="s">
        <v>33</v>
      </c>
      <c r="B13" s="73">
        <v>2</v>
      </c>
      <c r="C13" s="73">
        <v>2</v>
      </c>
      <c r="D13" s="73" t="s">
        <v>6</v>
      </c>
      <c r="E13" s="75" t="s">
        <v>6</v>
      </c>
    </row>
    <row r="14" spans="1:5" x14ac:dyDescent="0.3">
      <c r="A14" s="67" t="s">
        <v>34</v>
      </c>
      <c r="B14" s="72">
        <f>'Summary SI, Rental &amp; Subcon'!C40+'Summary SI, Rental &amp; Subcon'!I40+'Summary SI, Rental &amp; Subcon'!O40+'Summary SI, Rental &amp; Subcon'!Q40</f>
        <v>62</v>
      </c>
      <c r="C14" s="72">
        <f>'Summary SI, Rental &amp; Subcon'!E40+'Summary SI, Rental &amp; Subcon'!K40+'Summary SI, Rental &amp; Subcon'!R40+'Summary SI, Rental &amp; Subcon'!X40</f>
        <v>64</v>
      </c>
      <c r="D14" s="72">
        <f>'Summary SI, Rental &amp; Subcon'!D40+'Summary SI, Rental &amp; Subcon'!P40</f>
        <v>9</v>
      </c>
      <c r="E14" s="74">
        <v>2</v>
      </c>
    </row>
    <row r="15" spans="1:5" x14ac:dyDescent="0.3">
      <c r="A15" s="68" t="s">
        <v>35</v>
      </c>
      <c r="B15" s="73">
        <f>'Summary SI, Rental &amp; Subcon'!C41+'Summary SI, Rental &amp; Subcon'!O41</f>
        <v>16</v>
      </c>
      <c r="C15" s="73">
        <f>'Summary SI, Rental &amp; Subcon'!E41+'Summary SI, Rental &amp; Subcon'!M41</f>
        <v>31</v>
      </c>
      <c r="D15" s="73">
        <f>'Summary SI, Rental &amp; Subcon'!D41+'Summary SI, Rental &amp; Subcon'!N41</f>
        <v>17</v>
      </c>
      <c r="E15" s="75" t="s">
        <v>6</v>
      </c>
    </row>
    <row r="16" spans="1:5" x14ac:dyDescent="0.3">
      <c r="A16" s="67" t="s">
        <v>36</v>
      </c>
      <c r="B16" s="72" t="s">
        <v>6</v>
      </c>
      <c r="C16" s="72">
        <v>5</v>
      </c>
      <c r="D16" s="72" t="s">
        <v>6</v>
      </c>
      <c r="E16" s="72" t="s">
        <v>6</v>
      </c>
    </row>
    <row r="17" spans="1:5" x14ac:dyDescent="0.3">
      <c r="A17" s="67" t="s">
        <v>38</v>
      </c>
      <c r="B17" s="72" t="s">
        <v>6</v>
      </c>
      <c r="C17" s="72">
        <v>1</v>
      </c>
      <c r="D17" s="72" t="s">
        <v>6</v>
      </c>
      <c r="E17" s="72" t="s">
        <v>6</v>
      </c>
    </row>
    <row r="18" spans="1:5" x14ac:dyDescent="0.3">
      <c r="A18" s="68" t="s">
        <v>39</v>
      </c>
      <c r="B18" s="73">
        <v>13</v>
      </c>
      <c r="C18" s="73">
        <v>4</v>
      </c>
      <c r="D18" s="73" t="s">
        <v>6</v>
      </c>
      <c r="E18" s="75" t="s">
        <v>6</v>
      </c>
    </row>
    <row r="19" spans="1:5" x14ac:dyDescent="0.3">
      <c r="A19" s="67" t="s">
        <v>52</v>
      </c>
      <c r="B19" s="72" t="s">
        <v>6</v>
      </c>
      <c r="C19" s="72" t="s">
        <v>6</v>
      </c>
      <c r="D19" s="72" t="s">
        <v>6</v>
      </c>
      <c r="E19" s="72" t="s">
        <v>6</v>
      </c>
    </row>
    <row r="20" spans="1:5" ht="17.399999999999999" x14ac:dyDescent="0.3">
      <c r="C20" s="111" t="s">
        <v>0</v>
      </c>
      <c r="D20" s="111"/>
      <c r="E20" s="76">
        <f>SUM(Table35[[Villa]:[Laydown]])</f>
        <v>648</v>
      </c>
    </row>
  </sheetData>
  <mergeCells count="3">
    <mergeCell ref="A2:E2"/>
    <mergeCell ref="A1:E1"/>
    <mergeCell ref="C20:D20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SI, Rental &amp; Subcon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2025-12-20T07:43:33Z</dcterms:modified>
</cp:coreProperties>
</file>