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737DD11B-EF25-434F-A815-5A85F4634C5A}" xr6:coauthVersionLast="47" xr6:coauthVersionMax="47" xr10:uidLastSave="{00000000-0000-0000-0000-000000000000}"/>
  <bookViews>
    <workbookView xWindow="11340" yWindow="132" windowWidth="11520" windowHeight="13704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1" l="1"/>
  <c r="P47" i="1"/>
  <c r="M47" i="1"/>
  <c r="AE51" i="1"/>
  <c r="AD47" i="1" l="1"/>
  <c r="D47" i="1"/>
  <c r="F47" i="1"/>
  <c r="G47" i="1"/>
  <c r="H47" i="1"/>
  <c r="I47" i="1"/>
  <c r="J47" i="1"/>
  <c r="K47" i="1"/>
  <c r="L47" i="1"/>
  <c r="N47" i="1"/>
  <c r="O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3" i="1"/>
  <c r="AE44" i="1"/>
  <c r="AE45" i="1"/>
  <c r="AE5" i="1"/>
  <c r="B47" i="1"/>
  <c r="AE47" i="1" l="1"/>
  <c r="E47" i="1"/>
  <c r="AE42" i="1"/>
  <c r="E42" i="1"/>
  <c r="AE50" i="1"/>
  <c r="AE52" i="1"/>
</calcChain>
</file>

<file path=xl/sharedStrings.xml><?xml version="1.0" encoding="utf-8"?>
<sst xmlns="http://schemas.openxmlformats.org/spreadsheetml/2006/main" count="1159" uniqueCount="71">
  <si>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</si>
  <si>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</si>
  <si>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</si>
  <si>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</si>
  <si>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</si>
  <si>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</si>
  <si>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</si>
  <si>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</si>
  <si>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</si>
  <si>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</si>
  <si>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</si>
  <si>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</si>
  <si>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</si>
  <si>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</si>
  <si>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</si>
  <si>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</si>
  <si>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</si>
  <si>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</si>
  <si>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</si>
  <si>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</si>
  <si>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</si>
  <si>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</si>
  <si>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</si>
  <si>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</si>
  <si>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</si>
  <si>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</si>
  <si>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</si>
  <si>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</si>
  <si>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</si>
  <si>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</si>
  <si>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</si>
  <si>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</si>
  <si>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</si>
  <si>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</si>
  <si>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</si>
  <si>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</si>
  <si>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</si>
  <si>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</si>
  <si>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</si>
  <si>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</si>
  <si>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</si>
  <si>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</si>
  <si>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</si>
  <si>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</si>
  <si>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</si>
  <si>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</si>
  <si>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</si>
  <si>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</si>
  <si>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</si>
  <si>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</si>
  <si>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</si>
  <si>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</si>
  <si>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</si>
  <si>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</si>
  <si>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</si>
  <si>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</si>
  <si>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</si>
  <si>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</si>
  <si>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</si>
  <si>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</si>
  <si>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</si>
  <si>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</si>
  <si>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</si>
  <si>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</si>
  <si>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</si>
  <si>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</si>
  <si>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</si>
  <si>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</si>
  <si>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</si>
  <si>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</si>
  <si>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>Amaala Project Manpower 25/12/2025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</si>
</sst>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B34" activePane="bottomRight" state="frozen"/>
      <selection pane="topRight" activeCell="B1" sqref="B1"/>
      <selection pane="bottomLeft" activeCell="A5" sqref="A5"/>
      <selection pane="bottomRight" activeCell="B5" sqref="B5:AD46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82" t="s">
        <v>70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74" t="s">
        <v>0</v>
      </c>
    </row>
    <row r="2" spans="1:31" ht="21" customHeight="1" thickTop="1" thickBot="1" x14ac:dyDescent="0.35">
      <c r="A2" s="92" t="s">
        <v>67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4"/>
      <c r="AE2" s="75"/>
    </row>
    <row r="3" spans="1:31" ht="40.5" customHeight="1" thickTop="1" thickBot="1" x14ac:dyDescent="0.35">
      <c r="A3" s="64" t="s">
        <v>64</v>
      </c>
      <c r="B3" s="95" t="s">
        <v>63</v>
      </c>
      <c r="C3" s="95"/>
      <c r="D3" s="95"/>
      <c r="E3" s="95"/>
      <c r="F3" s="95"/>
      <c r="G3" s="95"/>
      <c r="H3" s="77" t="s">
        <v>51</v>
      </c>
      <c r="I3" s="78"/>
      <c r="J3" s="62" t="s">
        <v>47</v>
      </c>
      <c r="K3" s="85" t="s">
        <v>46</v>
      </c>
      <c r="L3" s="86"/>
      <c r="M3" s="87" t="s">
        <v>54</v>
      </c>
      <c r="N3" s="88"/>
      <c r="O3" s="66" t="s">
        <v>59</v>
      </c>
      <c r="P3" s="79" t="s">
        <v>48</v>
      </c>
      <c r="Q3" s="84"/>
      <c r="R3" s="81"/>
      <c r="S3" s="60" t="s">
        <v>61</v>
      </c>
      <c r="T3" s="89" t="s">
        <v>60</v>
      </c>
      <c r="U3" s="90"/>
      <c r="V3" s="91"/>
      <c r="W3" s="61" t="s">
        <v>62</v>
      </c>
      <c r="X3" s="79" t="s">
        <v>41</v>
      </c>
      <c r="Y3" s="84"/>
      <c r="Z3" s="84"/>
      <c r="AA3" s="61" t="s">
        <v>66</v>
      </c>
      <c r="AB3" s="79" t="s">
        <v>45</v>
      </c>
      <c r="AC3" s="80"/>
      <c r="AD3" s="81"/>
      <c r="AE3" s="7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2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6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7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6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2</v>
      </c>
      <c r="C16" s="39">
        <v>2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11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9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1</v>
      </c>
      <c r="E29" s="44">
        <v>3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19.2" x14ac:dyDescent="0.45">
      <c r="A30" s="2" t="s">
        <v>25</v>
      </c>
      <c r="B30" s="44" t="s">
        <v>6</v>
      </c>
      <c r="C30" s="44">
        <v>1</v>
      </c>
      <c r="D30" s="44"/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26</v>
      </c>
      <c r="D31" s="44">
        <v>3</v>
      </c>
      <c r="E31" s="44">
        <v>20</v>
      </c>
      <c r="F31" s="44" t="s">
        <v>6</v>
      </c>
      <c r="G31" s="44">
        <v>4</v>
      </c>
      <c r="H31" s="58" t="s">
        <v>6</v>
      </c>
      <c r="I31" s="38">
        <v>0</v>
      </c>
      <c r="J31" s="40" t="s">
        <v>6</v>
      </c>
      <c r="K31" s="36">
        <v>0</v>
      </c>
      <c r="L31" s="37">
        <v>20</v>
      </c>
      <c r="M31" s="58" t="s">
        <v>6</v>
      </c>
      <c r="N31" s="38" t="s">
        <v>6</v>
      </c>
      <c r="O31" s="38">
        <v>0</v>
      </c>
      <c r="P31" s="36">
        <v>0</v>
      </c>
      <c r="Q31" s="42">
        <v>25</v>
      </c>
      <c r="R31" s="38">
        <v>4</v>
      </c>
      <c r="S31" s="38">
        <v>0</v>
      </c>
      <c r="T31" s="36">
        <v>4</v>
      </c>
      <c r="U31" s="37">
        <v>0</v>
      </c>
      <c r="V31" s="38">
        <v>26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132</v>
      </c>
    </row>
    <row r="32" spans="1:31" ht="19.2" x14ac:dyDescent="0.45">
      <c r="A32" s="2" t="s">
        <v>49</v>
      </c>
      <c r="B32" s="44" t="s">
        <v>6</v>
      </c>
      <c r="C32" s="44">
        <v>8</v>
      </c>
      <c r="D32" s="44">
        <v>16</v>
      </c>
      <c r="E32" s="44">
        <v>22</v>
      </c>
      <c r="F32" s="44">
        <v>1</v>
      </c>
      <c r="G32" s="44" t="s">
        <v>6</v>
      </c>
      <c r="H32" s="58" t="s">
        <v>6</v>
      </c>
      <c r="I32" s="38">
        <v>10</v>
      </c>
      <c r="J32" s="40" t="s">
        <v>6</v>
      </c>
      <c r="K32" s="36">
        <v>7</v>
      </c>
      <c r="L32" s="37">
        <v>0</v>
      </c>
      <c r="M32" s="58" t="s">
        <v>6</v>
      </c>
      <c r="N32" s="38" t="s">
        <v>6</v>
      </c>
      <c r="O32" s="38">
        <v>0</v>
      </c>
      <c r="P32" s="36">
        <v>0</v>
      </c>
      <c r="Q32" s="42">
        <v>3</v>
      </c>
      <c r="R32" s="38">
        <v>0</v>
      </c>
      <c r="S32" s="38">
        <v>1</v>
      </c>
      <c r="T32" s="36">
        <v>0</v>
      </c>
      <c r="U32" s="37">
        <v>0</v>
      </c>
      <c r="V32" s="38">
        <v>11</v>
      </c>
      <c r="W32" s="40">
        <v>4</v>
      </c>
      <c r="X32" s="41">
        <v>33</v>
      </c>
      <c r="Y32" s="42" t="s">
        <v>6</v>
      </c>
      <c r="Z32" s="37"/>
      <c r="AA32" s="43">
        <v>18</v>
      </c>
      <c r="AB32" s="36" t="s">
        <v>6</v>
      </c>
      <c r="AC32" s="37" t="s">
        <v>6</v>
      </c>
      <c r="AD32" s="38" t="s">
        <v>6</v>
      </c>
      <c r="AE32" s="7">
        <f t="shared" si="1"/>
        <v>134</v>
      </c>
    </row>
    <row r="33" spans="1:31" ht="20.399999999999999" customHeight="1" x14ac:dyDescent="0.45">
      <c r="A33" s="24" t="s">
        <v>27</v>
      </c>
      <c r="B33" s="44" t="s">
        <v>6</v>
      </c>
      <c r="C33" s="44">
        <v>45</v>
      </c>
      <c r="D33" s="44">
        <v>9</v>
      </c>
      <c r="E33" s="44">
        <v>25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21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10</v>
      </c>
      <c r="R33" s="38">
        <v>6</v>
      </c>
      <c r="S33" s="38" t="s">
        <v>6</v>
      </c>
      <c r="T33" s="36" t="s">
        <v>6</v>
      </c>
      <c r="U33" s="37">
        <v>0</v>
      </c>
      <c r="V33" s="38">
        <v>31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147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30</v>
      </c>
      <c r="D40" s="44">
        <v>5</v>
      </c>
      <c r="E40" s="44">
        <v>5</v>
      </c>
      <c r="F40" s="44">
        <v>2</v>
      </c>
      <c r="G40" s="44" t="s">
        <v>6</v>
      </c>
      <c r="H40" s="58">
        <v>0</v>
      </c>
      <c r="I40" s="38">
        <v>8</v>
      </c>
      <c r="J40" s="40" t="s">
        <v>6</v>
      </c>
      <c r="K40" s="36">
        <v>8</v>
      </c>
      <c r="L40" s="37" t="s">
        <v>6</v>
      </c>
      <c r="M40" s="58" t="s">
        <v>6</v>
      </c>
      <c r="N40" s="38" t="s">
        <v>6</v>
      </c>
      <c r="O40" s="38">
        <v>8</v>
      </c>
      <c r="P40" s="36">
        <v>3</v>
      </c>
      <c r="Q40" s="42">
        <v>12</v>
      </c>
      <c r="R40" s="38">
        <v>15</v>
      </c>
      <c r="S40" s="38" t="s">
        <v>6</v>
      </c>
      <c r="T40" s="36" t="s">
        <v>6</v>
      </c>
      <c r="U40" s="37" t="str">
        <f>V39</f>
        <v>-</v>
      </c>
      <c r="V40" s="38">
        <v>8</v>
      </c>
      <c r="W40" s="40" t="s">
        <v>6</v>
      </c>
      <c r="X40" s="41">
        <v>30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134</v>
      </c>
    </row>
    <row r="41" spans="1:31" ht="19.2" x14ac:dyDescent="0.45">
      <c r="A41" s="2" t="s">
        <v>35</v>
      </c>
      <c r="B41" s="44" t="s">
        <v>6</v>
      </c>
      <c r="C41" s="44">
        <v>6</v>
      </c>
      <c r="D41" s="44">
        <v>8</v>
      </c>
      <c r="E41" s="44">
        <v>5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33</v>
      </c>
      <c r="N41" s="38">
        <v>4</v>
      </c>
      <c r="O41" s="38">
        <v>8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64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>
        <v>2</v>
      </c>
      <c r="E42" s="44">
        <f ca="1">-E42</f>
        <v>0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ca="1" si="1"/>
        <v>7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3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8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15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6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19</v>
      </c>
      <c r="C47" s="5">
        <f t="shared" si="2"/>
        <v>134</v>
      </c>
      <c r="D47" s="5">
        <f t="shared" si="2"/>
        <v>51</v>
      </c>
      <c r="E47" s="5">
        <f t="shared" ca="1" si="2"/>
        <v>113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21</v>
      </c>
      <c r="J47" s="5">
        <f t="shared" si="2"/>
        <v>3</v>
      </c>
      <c r="K47" s="5">
        <f t="shared" si="2"/>
        <v>15</v>
      </c>
      <c r="L47" s="5">
        <f t="shared" si="2"/>
        <v>41</v>
      </c>
      <c r="M47" s="5">
        <f t="shared" si="2"/>
        <v>33</v>
      </c>
      <c r="N47" s="5">
        <f t="shared" si="2"/>
        <v>4</v>
      </c>
      <c r="O47" s="5">
        <f t="shared" si="2"/>
        <v>24</v>
      </c>
      <c r="P47" s="5">
        <f>SUM(P5:P46)</f>
        <v>3</v>
      </c>
      <c r="Q47" s="5">
        <f t="shared" si="2"/>
        <v>52</v>
      </c>
      <c r="R47" s="5">
        <f t="shared" si="2"/>
        <v>25</v>
      </c>
      <c r="S47" s="5">
        <f t="shared" si="2"/>
        <v>1</v>
      </c>
      <c r="T47" s="5">
        <f t="shared" si="2"/>
        <v>4</v>
      </c>
      <c r="U47" s="5">
        <f t="shared" si="2"/>
        <v>0</v>
      </c>
      <c r="V47" s="5">
        <f t="shared" si="2"/>
        <v>77</v>
      </c>
      <c r="W47" s="5">
        <f t="shared" si="2"/>
        <v>4</v>
      </c>
      <c r="X47" s="5">
        <f t="shared" si="2"/>
        <v>63</v>
      </c>
      <c r="Y47" s="5">
        <f t="shared" si="2"/>
        <v>0</v>
      </c>
      <c r="Z47" s="5">
        <f t="shared" si="2"/>
        <v>0</v>
      </c>
      <c r="AA47" s="5">
        <f t="shared" si="2"/>
        <v>18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ca="1" si="1"/>
        <v>726</v>
      </c>
    </row>
    <row r="48" spans="1:31" ht="18.600000000000001" thickTop="1" x14ac:dyDescent="0.45"/>
    <row r="49" spans="4:31" ht="20.399999999999999" customHeight="1" x14ac:dyDescent="0.45">
      <c r="D49" s="9"/>
    </row>
    <row r="50" spans="4:31" ht="14.4" x14ac:dyDescent="0.3">
      <c r="AD50" s="70" t="s">
        <v>68</v>
      </c>
      <c r="AE50" s="71">
        <f ca="1">SUM(B29:AD46)</f>
        <v>666</v>
      </c>
    </row>
    <row r="51" spans="4:31" ht="14.4" x14ac:dyDescent="0.3">
      <c r="AD51" s="70" t="s">
        <v>69</v>
      </c>
      <c r="AE51" s="71">
        <f>SUM(B5:AD28)</f>
        <v>60</v>
      </c>
    </row>
    <row r="52" spans="4:31" ht="14.4" x14ac:dyDescent="0.3">
      <c r="AD52" s="72" t="s">
        <v>40</v>
      </c>
      <c r="AE52" s="73">
        <f ca="1">SUM(AE50:AE51)</f>
        <v>726</v>
      </c>
    </row>
    <row r="53" spans="4:31" ht="18.600000000000001" customHeight="1" x14ac:dyDescent="0.3">
      <c r="AE53"/>
    </row>
    <row r="54" spans="4:31" ht="19.8" customHeight="1" x14ac:dyDescent="0.3">
      <c r="AE54"/>
    </row>
    <row r="103" spans="14:15" x14ac:dyDescent="0.45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2025-12-25T08:03:50Z</dcterms:modified>
</cp:coreProperties>
</file>