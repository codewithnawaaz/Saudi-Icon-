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D28038C9-98C8-4049-BF4E-D0C655BEB639}" xr6:coauthVersionLast="47" xr6:coauthVersionMax="47" xr10:uidLastSave="{00000000-0000-0000-0000-000000000000}"/>
  <bookViews>
    <workbookView xWindow="-12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B6" i="2"/>
  <c r="M47" i="1"/>
  <c r="C7" i="2"/>
  <c r="D15" i="2"/>
  <c r="C15" i="2"/>
  <c r="B15" i="2"/>
  <c r="D14" i="2"/>
  <c r="C14" i="2"/>
  <c r="B14" i="2"/>
  <c r="D8" i="2"/>
  <c r="C8" i="2"/>
  <c r="B8" i="2"/>
  <c r="D7" i="2"/>
  <c r="B7" i="2"/>
  <c r="AE51" i="1"/>
  <c r="AE50" i="1"/>
  <c r="AE52" i="1" l="1"/>
  <c r="E20" i="2"/>
  <c r="AD47" i="1"/>
  <c r="D47" i="1"/>
  <c r="E47" i="1"/>
  <c r="F47" i="1"/>
  <c r="G47" i="1"/>
  <c r="H47" i="1"/>
  <c r="I47" i="1"/>
  <c r="J47" i="1"/>
  <c r="K47" i="1"/>
  <c r="L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<sst xmlns="http://schemas.openxmlformats.org/spreadsheetml/2006/main" count="1207" uniqueCount="74">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</sst>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71</c:v>
                </c:pt>
                <c:pt idx="1">
                  <c:v>42</c:v>
                </c:pt>
                <c:pt idx="2">
                  <c:v>11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43</c:v>
                </c:pt>
                <c:pt idx="1">
                  <c:v>82</c:v>
                </c:pt>
                <c:pt idx="2">
                  <c:v>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53</c:v>
                </c:pt>
                <c:pt idx="1">
                  <c:v>79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57</c:v>
                </c:pt>
                <c:pt idx="1">
                  <c:v>83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19</c:v>
                </c:pt>
                <c:pt idx="1">
                  <c:v>39</c:v>
                </c:pt>
                <c:pt idx="2">
                  <c:v>12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19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47</xdr:row>
      <xdr:rowOff>26670</xdr:rowOff>
    </xdr:from>
    <xdr:to>
      <xdr:col>30</xdr:col>
      <xdr:colOff>333375</xdr:colOff>
      <xdr:row>49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3"/>
  <sheetViews>
    <sheetView tabSelected="1" zoomScaleNormal="100" workbookViewId="0">
      <pane xSplit="1" ySplit="4" topLeftCell="G43" activePane="bottomRight" state="frozen"/>
      <selection pane="topRight" activeCell="B1" sqref="B1"/>
      <selection pane="bottomLeft" activeCell="A5" sqref="A5"/>
      <selection pane="bottomRight" activeCell="U53" sqref="U52:U53"/>
    </sheetView>
  </sheetViews>
  <sheetFormatPr defaultRowHeight="18.75" x14ac:dyDescent="0.4"/>
  <cols>
    <col min="1" max="1" width="33.28515625" bestFit="1" customWidth="1"/>
    <col min="8" max="9" width="9" customWidth="1"/>
    <col min="10" max="10" width="10.7109375" customWidth="1"/>
    <col min="11" max="12" width="8.28515625" customWidth="1"/>
    <col min="13" max="14" width="8.5703125" customWidth="1"/>
    <col min="15" max="15" width="9.28515625" customWidth="1"/>
    <col min="16" max="18" width="8.28515625" customWidth="1"/>
    <col min="19" max="19" width="9.140625" customWidth="1"/>
    <col min="20" max="22" width="8.5703125" customWidth="1"/>
    <col min="23" max="23" width="9.5703125" customWidth="1"/>
    <col min="24" max="26" width="7.140625" customWidth="1"/>
    <col min="27" max="30" width="9.5703125" customWidth="1"/>
    <col min="31" max="31" width="8.85546875" style="8"/>
  </cols>
  <sheetData>
    <row r="1" spans="1:31" ht="21" thickTop="1" thickBot="1" x14ac:dyDescent="0.3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34.5" thickTop="1" thickBot="1" x14ac:dyDescent="0.3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21" thickTop="1" x14ac:dyDescent="0.4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20.25" x14ac:dyDescent="0.4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20.25" x14ac:dyDescent="0.4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20.25" x14ac:dyDescent="0.4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20.25" x14ac:dyDescent="0.4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20.25" x14ac:dyDescent="0.4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20.25" x14ac:dyDescent="0.4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20.25" x14ac:dyDescent="0.4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20.25" x14ac:dyDescent="0.4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20.25" x14ac:dyDescent="0.4">
      <c r="A14" s="2" t="s">
        <v>12</v>
      </c>
      <c r="B14" s="39">
        <v>1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1</v>
      </c>
    </row>
    <row r="15" spans="1:31" ht="20.25" x14ac:dyDescent="0.4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20.25" x14ac:dyDescent="0.4">
      <c r="A16" s="2" t="s">
        <v>14</v>
      </c>
      <c r="B16" s="39">
        <v>1</v>
      </c>
      <c r="C16" s="39">
        <v>2</v>
      </c>
      <c r="D16" s="39">
        <v>2</v>
      </c>
      <c r="E16" s="39">
        <v>5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10</v>
      </c>
    </row>
    <row r="17" spans="1:31" ht="20.25" x14ac:dyDescent="0.4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20.25" x14ac:dyDescent="0.4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20.25" x14ac:dyDescent="0.4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20.25" x14ac:dyDescent="0.4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20.25" x14ac:dyDescent="0.4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20.25" x14ac:dyDescent="0.4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20.25" x14ac:dyDescent="0.4">
      <c r="A23" s="2" t="s">
        <v>20</v>
      </c>
      <c r="B23" s="39" t="s">
        <v>6</v>
      </c>
      <c r="C23" s="39">
        <v>1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6</v>
      </c>
    </row>
    <row r="24" spans="1:31" ht="20.25" x14ac:dyDescent="0.4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20.25" x14ac:dyDescent="0.4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20.25" x14ac:dyDescent="0.4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20.25" x14ac:dyDescent="0.4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20.25" x14ac:dyDescent="0.4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20.25" x14ac:dyDescent="0.4">
      <c r="A29" s="2" t="s">
        <v>24</v>
      </c>
      <c r="B29" s="44" t="s">
        <v>6</v>
      </c>
      <c r="C29" s="44">
        <v>1</v>
      </c>
      <c r="D29" s="44">
        <v>0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20.25" x14ac:dyDescent="0.4">
      <c r="A30" s="2" t="s">
        <v>25</v>
      </c>
      <c r="B30" s="44" t="s">
        <v>6</v>
      </c>
      <c r="C30" s="44"/>
      <c r="D30" s="44">
        <v>1</v>
      </c>
      <c r="E30" s="44">
        <v>2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20.25" x14ac:dyDescent="0.4">
      <c r="A31" s="2" t="s">
        <v>26</v>
      </c>
      <c r="B31" s="44" t="s">
        <v>6</v>
      </c>
      <c r="C31" s="44">
        <v>22</v>
      </c>
      <c r="D31" s="44">
        <v>4</v>
      </c>
      <c r="E31" s="44">
        <v>18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24</v>
      </c>
      <c r="M31" s="58" t="s">
        <v>6</v>
      </c>
      <c r="N31" s="38" t="s">
        <v>6</v>
      </c>
      <c r="O31" s="38">
        <v>0</v>
      </c>
      <c r="P31" s="36">
        <v>1</v>
      </c>
      <c r="Q31" s="42">
        <v>25</v>
      </c>
      <c r="R31" s="38">
        <v>8</v>
      </c>
      <c r="S31" s="38">
        <v>0</v>
      </c>
      <c r="T31" s="36">
        <v>0</v>
      </c>
      <c r="U31" s="37">
        <v>5</v>
      </c>
      <c r="V31" s="38">
        <v>16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127</v>
      </c>
    </row>
    <row r="32" spans="1:31" ht="20.25" x14ac:dyDescent="0.4">
      <c r="A32" s="2" t="s">
        <v>49</v>
      </c>
      <c r="B32" s="44" t="s">
        <v>6</v>
      </c>
      <c r="C32" s="44">
        <v>21</v>
      </c>
      <c r="D32" s="44">
        <v>12</v>
      </c>
      <c r="E32" s="44">
        <v>16</v>
      </c>
      <c r="F32" s="44">
        <v>1</v>
      </c>
      <c r="G32" s="44" t="s">
        <v>6</v>
      </c>
      <c r="H32" s="58" t="s">
        <v>6</v>
      </c>
      <c r="I32" s="38">
        <v>17</v>
      </c>
      <c r="J32" s="40" t="s">
        <v>6</v>
      </c>
      <c r="K32" s="36">
        <v>11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4</v>
      </c>
      <c r="R32" s="38" t="s">
        <v>6</v>
      </c>
      <c r="S32" s="38">
        <v>1</v>
      </c>
      <c r="T32" s="36">
        <v>0</v>
      </c>
      <c r="U32" s="37" t="s">
        <v>6</v>
      </c>
      <c r="V32" s="38">
        <v>5</v>
      </c>
      <c r="W32" s="40">
        <v>0</v>
      </c>
      <c r="X32" s="41">
        <v>40</v>
      </c>
      <c r="Y32" s="42" t="s">
        <v>6</v>
      </c>
      <c r="Z32" s="37"/>
      <c r="AA32" s="43">
        <v>10</v>
      </c>
      <c r="AB32" s="36" t="s">
        <v>6</v>
      </c>
      <c r="AC32" s="37" t="s">
        <v>6</v>
      </c>
      <c r="AD32" s="38" t="s">
        <v>6</v>
      </c>
      <c r="AE32" s="7">
        <f t="shared" si="1"/>
        <v>138</v>
      </c>
    </row>
    <row r="33" spans="1:31" ht="20.45" customHeight="1" x14ac:dyDescent="0.4">
      <c r="A33" s="24" t="s">
        <v>27</v>
      </c>
      <c r="B33" s="44" t="s">
        <v>6</v>
      </c>
      <c r="C33" s="44">
        <v>28</v>
      </c>
      <c r="D33" s="44">
        <v>9</v>
      </c>
      <c r="E33" s="44">
        <v>40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15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10</v>
      </c>
      <c r="R33" s="38">
        <v>11</v>
      </c>
      <c r="S33" s="38" t="s">
        <v>6</v>
      </c>
      <c r="T33" s="36" t="s">
        <v>6</v>
      </c>
      <c r="U33" s="37">
        <v>0</v>
      </c>
      <c r="V33" s="38">
        <v>28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141</v>
      </c>
    </row>
    <row r="34" spans="1:31" ht="20.25" x14ac:dyDescent="0.4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20.25" x14ac:dyDescent="0.4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20.25" x14ac:dyDescent="0.4">
      <c r="A36" s="2" t="s">
        <v>30</v>
      </c>
      <c r="B36" s="44" t="s">
        <v>6</v>
      </c>
      <c r="C36" s="44">
        <v>0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20.25" x14ac:dyDescent="0.4">
      <c r="A37" s="2" t="s">
        <v>31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20.25" x14ac:dyDescent="0.4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20.25" x14ac:dyDescent="0.4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20.25" x14ac:dyDescent="0.4">
      <c r="A40" s="2" t="s">
        <v>34</v>
      </c>
      <c r="B40" s="44" t="s">
        <v>6</v>
      </c>
      <c r="C40" s="44">
        <v>30</v>
      </c>
      <c r="D40" s="44">
        <v>3</v>
      </c>
      <c r="E40" s="44">
        <v>5</v>
      </c>
      <c r="F40" s="44">
        <v>2</v>
      </c>
      <c r="G40" s="44" t="s">
        <v>6</v>
      </c>
      <c r="H40" s="58">
        <v>0</v>
      </c>
      <c r="I40" s="38">
        <v>10</v>
      </c>
      <c r="J40" s="40" t="s">
        <v>6</v>
      </c>
      <c r="K40" s="36">
        <v>8</v>
      </c>
      <c r="L40" s="37" t="s">
        <v>6</v>
      </c>
      <c r="M40" s="58" t="s">
        <v>6</v>
      </c>
      <c r="N40" s="38" t="s">
        <v>6</v>
      </c>
      <c r="O40" s="38">
        <v>4</v>
      </c>
      <c r="P40" s="36">
        <v>5</v>
      </c>
      <c r="Q40" s="42">
        <v>13</v>
      </c>
      <c r="R40" s="38">
        <v>25</v>
      </c>
      <c r="S40" s="38" t="s">
        <v>6</v>
      </c>
      <c r="T40" s="36" t="s">
        <v>6</v>
      </c>
      <c r="U40" s="37" t="s">
        <v>6</v>
      </c>
      <c r="V40" s="38">
        <v>14</v>
      </c>
      <c r="W40" s="40" t="s">
        <v>6</v>
      </c>
      <c r="X40" s="41">
        <v>31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150</v>
      </c>
    </row>
    <row r="41" spans="1:31" ht="20.25" x14ac:dyDescent="0.4">
      <c r="A41" s="2" t="s">
        <v>35</v>
      </c>
      <c r="B41" s="44" t="s">
        <v>6</v>
      </c>
      <c r="C41" s="44">
        <v>12</v>
      </c>
      <c r="D41" s="44">
        <v>8</v>
      </c>
      <c r="E41" s="44">
        <v>5</v>
      </c>
      <c r="F41" s="44" t="s">
        <v>6</v>
      </c>
      <c r="G41" s="44" t="s">
        <v>6</v>
      </c>
      <c r="H41" s="58" t="s">
        <v>6</v>
      </c>
      <c r="I41" s="38">
        <v>0</v>
      </c>
      <c r="J41" s="40" t="s">
        <v>6</v>
      </c>
      <c r="K41" s="36" t="s">
        <v>6</v>
      </c>
      <c r="L41" s="37" t="s">
        <v>6</v>
      </c>
      <c r="M41" s="58">
        <v>34</v>
      </c>
      <c r="N41" s="38">
        <v>4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70</v>
      </c>
    </row>
    <row r="42" spans="1:31" ht="20.25" x14ac:dyDescent="0.4">
      <c r="A42" s="2" t="s">
        <v>36</v>
      </c>
      <c r="B42" s="44" t="s">
        <v>6</v>
      </c>
      <c r="C42" s="44" t="s">
        <v>6</v>
      </c>
      <c r="D42" s="44">
        <v>0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20.25" x14ac:dyDescent="0.4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20.25" x14ac:dyDescent="0.4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20.25" x14ac:dyDescent="0.4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>
        <v>3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8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15</v>
      </c>
    </row>
    <row r="46" spans="1:31" ht="21" thickBot="1" x14ac:dyDescent="0.4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" customHeight="1" thickTop="1" thickBot="1" x14ac:dyDescent="0.3">
      <c r="A47" s="4" t="s">
        <v>40</v>
      </c>
      <c r="B47" s="5">
        <f t="shared" ref="B47:AC47" si="2">SUM(B5:B46)</f>
        <v>17</v>
      </c>
      <c r="C47" s="5">
        <f t="shared" si="2"/>
        <v>132</v>
      </c>
      <c r="D47" s="5">
        <f t="shared" si="2"/>
        <v>44</v>
      </c>
      <c r="E47" s="5">
        <f t="shared" si="2"/>
        <v>120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30</v>
      </c>
      <c r="J47" s="5">
        <f t="shared" si="2"/>
        <v>3</v>
      </c>
      <c r="K47" s="5">
        <f t="shared" si="2"/>
        <v>19</v>
      </c>
      <c r="L47" s="5">
        <f t="shared" si="2"/>
        <v>39</v>
      </c>
      <c r="M47" s="5">
        <f t="shared" si="2"/>
        <v>34</v>
      </c>
      <c r="N47" s="5">
        <f t="shared" si="2"/>
        <v>4</v>
      </c>
      <c r="O47" s="5">
        <f t="shared" si="2"/>
        <v>19</v>
      </c>
      <c r="P47" s="5">
        <f t="shared" si="2"/>
        <v>6</v>
      </c>
      <c r="Q47" s="5">
        <f t="shared" si="2"/>
        <v>54</v>
      </c>
      <c r="R47" s="5">
        <f t="shared" si="2"/>
        <v>44</v>
      </c>
      <c r="S47" s="5">
        <f t="shared" si="2"/>
        <v>1</v>
      </c>
      <c r="T47" s="5">
        <f t="shared" si="2"/>
        <v>0</v>
      </c>
      <c r="U47" s="5">
        <f t="shared" si="2"/>
        <v>5</v>
      </c>
      <c r="V47" s="5">
        <f t="shared" si="2"/>
        <v>64</v>
      </c>
      <c r="W47" s="5">
        <f t="shared" si="2"/>
        <v>0</v>
      </c>
      <c r="X47" s="5">
        <f t="shared" si="2"/>
        <v>71</v>
      </c>
      <c r="Y47" s="5">
        <f t="shared" si="2"/>
        <v>0</v>
      </c>
      <c r="Z47" s="5">
        <f t="shared" si="2"/>
        <v>0</v>
      </c>
      <c r="AA47" s="5">
        <f t="shared" si="2"/>
        <v>10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730</v>
      </c>
    </row>
    <row r="48" spans="1:31" ht="19.5" thickTop="1" x14ac:dyDescent="0.4"/>
    <row r="49" spans="4:31" ht="20.45" customHeight="1" x14ac:dyDescent="0.4">
      <c r="D49" s="9"/>
    </row>
    <row r="50" spans="4:31" ht="15" x14ac:dyDescent="0.25">
      <c r="AD50" s="80" t="s">
        <v>71</v>
      </c>
      <c r="AE50" s="81">
        <f>SUM(B29:AD46)</f>
        <v>672</v>
      </c>
    </row>
    <row r="51" spans="4:31" ht="15" x14ac:dyDescent="0.25">
      <c r="AD51" s="80" t="s">
        <v>72</v>
      </c>
      <c r="AE51" s="81">
        <f>SUM(B5:AD28)</f>
        <v>58</v>
      </c>
    </row>
    <row r="52" spans="4:31" ht="15" x14ac:dyDescent="0.25">
      <c r="AD52" s="82" t="s">
        <v>40</v>
      </c>
      <c r="AE52" s="83">
        <f>SUM(AE50:AE51)</f>
        <v>730</v>
      </c>
    </row>
    <row r="53" spans="4:31" ht="18.600000000000001" customHeight="1" x14ac:dyDescent="0.25">
      <c r="AE53"/>
    </row>
    <row r="54" spans="4:31" ht="19.899999999999999" customHeight="1" x14ac:dyDescent="0.25">
      <c r="AE54"/>
    </row>
    <row r="103" spans="14:15" x14ac:dyDescent="0.4">
      <c r="N103" s="10"/>
      <c r="O103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C4" sqref="C4:C18"/>
    </sheetView>
  </sheetViews>
  <sheetFormatPr defaultRowHeight="15" x14ac:dyDescent="0.25"/>
  <cols>
    <col min="1" max="1" width="25" bestFit="1" customWidth="1"/>
    <col min="2" max="4" width="9.42578125" style="10" bestFit="1" customWidth="1"/>
    <col min="5" max="5" width="10.28515625" style="10" customWidth="1"/>
  </cols>
  <sheetData>
    <row r="1" spans="1:5" ht="18.75" x14ac:dyDescent="0.3">
      <c r="A1" s="109">
        <v>46011</v>
      </c>
      <c r="B1" s="110"/>
      <c r="C1" s="110"/>
      <c r="D1" s="110"/>
      <c r="E1" s="110"/>
    </row>
    <row r="2" spans="1:5" ht="18.75" x14ac:dyDescent="0.25">
      <c r="A2" s="106" t="s">
        <v>67</v>
      </c>
      <c r="B2" s="107"/>
      <c r="C2" s="107"/>
      <c r="D2" s="107"/>
      <c r="E2" s="108"/>
    </row>
    <row r="3" spans="1:5" ht="15.75" x14ac:dyDescent="0.25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25">
      <c r="A4" s="67" t="s">
        <v>66</v>
      </c>
      <c r="B4" s="72">
        <v>1</v>
      </c>
      <c r="C4" s="72">
        <v>1</v>
      </c>
      <c r="D4" s="72">
        <v>3</v>
      </c>
      <c r="E4" s="74">
        <v>0</v>
      </c>
    </row>
    <row r="5" spans="1:5" x14ac:dyDescent="0.25">
      <c r="A5" s="68" t="s">
        <v>25</v>
      </c>
      <c r="B5" s="73">
        <v>0</v>
      </c>
      <c r="C5" s="73">
        <v>0</v>
      </c>
      <c r="D5" s="73">
        <v>2</v>
      </c>
      <c r="E5" s="75" t="s">
        <v>6</v>
      </c>
    </row>
    <row r="6" spans="1:5" x14ac:dyDescent="0.25">
      <c r="A6" s="67" t="s">
        <v>26</v>
      </c>
      <c r="B6" s="72">
        <f>'Summary SI, Rental &amp; Subcon'!C31+'Summary SI, Rental &amp; Subcon'!I31+'Summary SI, Rental &amp; Subcon'!L31+'Summary SI, Rental &amp; Subcon'!O31+'Summary SI, Rental &amp; Subcon'!Q31+'Summary SI, Rental &amp; Subcon'!S31+'Summary SI, Rental &amp; Subcon'!T31</f>
        <v>71</v>
      </c>
      <c r="C6" s="72">
        <f>'Summary SI, Rental &amp; Subcon'!E31+'Summary SI, Rental &amp; Subcon'!K31+'Summary SI, Rental &amp; Subcon'!R31+'Summary SI, Rental &amp; Subcon'!V31</f>
        <v>42</v>
      </c>
      <c r="D6" s="72">
        <v>11</v>
      </c>
      <c r="E6" s="74">
        <v>4</v>
      </c>
    </row>
    <row r="7" spans="1:5" x14ac:dyDescent="0.25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43</v>
      </c>
      <c r="C7" s="73">
        <f>'Summary SI, Rental &amp; Subcon'!E32+'Summary SI, Rental &amp; Subcon'!K32+'Summary SI, Rental &amp; Subcon'!V32+'Summary SI, Rental &amp; Subcon'!W32+'Summary SI, Rental &amp; Subcon'!X32+'Summary SI, Rental &amp; Subcon'!AA32</f>
        <v>82</v>
      </c>
      <c r="D7" s="73">
        <f>'Summary SI, Rental &amp; Subcon'!D32</f>
        <v>12</v>
      </c>
      <c r="E7" s="75">
        <v>1</v>
      </c>
    </row>
    <row r="8" spans="1:5" x14ac:dyDescent="0.25">
      <c r="A8" s="67" t="s">
        <v>27</v>
      </c>
      <c r="B8" s="72">
        <f>'Summary SI, Rental &amp; Subcon'!C33+'Summary SI, Rental &amp; Subcon'!L33+'Summary SI, Rental &amp; Subcon'!Q33</f>
        <v>53</v>
      </c>
      <c r="C8" s="72">
        <f>'Summary SI, Rental &amp; Subcon'!E33+'Summary SI, Rental &amp; Subcon'!R33+'Summary SI, Rental &amp; Subcon'!V33</f>
        <v>79</v>
      </c>
      <c r="D8" s="72">
        <f>'Summary SI, Rental &amp; Subcon'!D33</f>
        <v>9</v>
      </c>
      <c r="E8" s="74">
        <v>0</v>
      </c>
    </row>
    <row r="9" spans="1:5" x14ac:dyDescent="0.25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25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25">
      <c r="A11" s="68" t="s">
        <v>30</v>
      </c>
      <c r="B11" s="73"/>
      <c r="C11" s="73"/>
      <c r="D11" s="73" t="s">
        <v>6</v>
      </c>
      <c r="E11" s="75">
        <v>1</v>
      </c>
    </row>
    <row r="12" spans="1:5" x14ac:dyDescent="0.25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25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25">
      <c r="A14" s="67" t="s">
        <v>34</v>
      </c>
      <c r="B14" s="72">
        <f>'Summary SI, Rental &amp; Subcon'!C40+'Summary SI, Rental &amp; Subcon'!I40+'Summary SI, Rental &amp; Subcon'!O40+'Summary SI, Rental &amp; Subcon'!Q40</f>
        <v>57</v>
      </c>
      <c r="C14" s="72">
        <f>'Summary SI, Rental &amp; Subcon'!E40+'Summary SI, Rental &amp; Subcon'!K40+'Summary SI, Rental &amp; Subcon'!R40+'Summary SI, Rental &amp; Subcon'!V40+'Summary SI, Rental &amp; Subcon'!X40</f>
        <v>83</v>
      </c>
      <c r="D14" s="72">
        <f>'Summary SI, Rental &amp; Subcon'!D40+'Summary SI, Rental &amp; Subcon'!P40</f>
        <v>8</v>
      </c>
      <c r="E14" s="74">
        <v>2</v>
      </c>
    </row>
    <row r="15" spans="1:5" x14ac:dyDescent="0.25">
      <c r="A15" s="68" t="s">
        <v>35</v>
      </c>
      <c r="B15" s="73">
        <f>'Summary SI, Rental &amp; Subcon'!C41+'Summary SI, Rental &amp; Subcon'!O41</f>
        <v>19</v>
      </c>
      <c r="C15" s="73">
        <f>'Summary SI, Rental &amp; Subcon'!E41+'Summary SI, Rental &amp; Subcon'!M41</f>
        <v>39</v>
      </c>
      <c r="D15" s="73">
        <f>'Summary SI, Rental &amp; Subcon'!D41+'Summary SI, Rental &amp; Subcon'!N41</f>
        <v>12</v>
      </c>
      <c r="E15" s="75" t="s">
        <v>6</v>
      </c>
    </row>
    <row r="16" spans="1:5" x14ac:dyDescent="0.25">
      <c r="A16" s="67" t="s">
        <v>36</v>
      </c>
      <c r="B16" s="72" t="s">
        <v>6</v>
      </c>
      <c r="C16" s="72">
        <v>5</v>
      </c>
      <c r="D16" s="72" t="s">
        <v>6</v>
      </c>
      <c r="E16" s="72" t="s">
        <v>6</v>
      </c>
    </row>
    <row r="17" spans="1:5" x14ac:dyDescent="0.25">
      <c r="A17" s="67" t="s">
        <v>38</v>
      </c>
      <c r="B17" s="72" t="s">
        <v>6</v>
      </c>
      <c r="C17" s="72">
        <v>1</v>
      </c>
      <c r="D17" s="72" t="s">
        <v>6</v>
      </c>
      <c r="E17" s="72" t="s">
        <v>6</v>
      </c>
    </row>
    <row r="18" spans="1:5" x14ac:dyDescent="0.25">
      <c r="A18" s="68" t="s">
        <v>39</v>
      </c>
      <c r="B18" s="73">
        <v>19</v>
      </c>
      <c r="C18" s="73">
        <v>4</v>
      </c>
      <c r="D18" s="73" t="s">
        <v>6</v>
      </c>
      <c r="E18" s="75" t="s">
        <v>6</v>
      </c>
    </row>
    <row r="19" spans="1:5" x14ac:dyDescent="0.25">
      <c r="A19" s="67" t="s">
        <v>52</v>
      </c>
      <c r="B19" s="72" t="s">
        <v>6</v>
      </c>
      <c r="C19" s="72" t="s">
        <v>6</v>
      </c>
      <c r="D19" s="72" t="s">
        <v>6</v>
      </c>
      <c r="E19" s="72" t="s">
        <v>6</v>
      </c>
    </row>
    <row r="20" spans="1:5" ht="18" x14ac:dyDescent="0.25">
      <c r="C20" s="111" t="s">
        <v>0</v>
      </c>
      <c r="D20" s="111"/>
      <c r="E20" s="76">
        <f>SUM(Table35[[Villa]:[Laydown]])</f>
        <v>679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2025-12-31T07:37:56Z</dcterms:modified>
</cp:coreProperties>
</file>