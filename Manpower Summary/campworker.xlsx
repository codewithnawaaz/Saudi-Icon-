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8_{3D9CA4EB-36E2-49A7-B2AA-859F1EB3B1E6}" xr6:coauthVersionLast="47" xr6:coauthVersionMax="47" xr10:uidLastSave="{00000000-0000-0000-0000-000000000000}"/>
  <bookViews>
    <workbookView xWindow="28680" yWindow="-120" windowWidth="29040" windowHeight="15720" xr2:uid="{55690141-0E4D-48D3-8D1F-CC8024777C0B}"/>
  </bookViews>
  <sheets>
    <sheet name="Camp" sheetId="1" r:id="rId1"/>
  </sheets>
  <definedNames>
    <definedName name="_xlnm._FilterDatabase" localSheetId="0" hidden="1">Camp!$A$2:$AK$3</definedName>
    <definedName name="_xlnm.Print_Area" localSheetId="0">Camp!$A$1:$AK$22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" i="1" l="1"/>
  <c r="AJ9" i="1" a="1"/>
  <c r="AJ9" i="1" s="1"/>
  <c r="AI9" i="1"/>
  <c r="AK8" i="1"/>
  <c r="AJ8" i="1" a="1"/>
  <c r="AJ8" i="1" s="1"/>
  <c r="AI8" i="1"/>
  <c r="AK7" i="1"/>
  <c r="AJ7" i="1" a="1"/>
  <c r="AJ7" i="1" s="1"/>
  <c r="AI7" i="1"/>
  <c r="AK6" i="1"/>
  <c r="AJ6" i="1" a="1"/>
  <c r="AJ6" i="1" s="1"/>
  <c r="AI6" i="1"/>
  <c r="AK5" i="1"/>
  <c r="AJ5" i="1" a="1"/>
  <c r="AJ5" i="1" s="1"/>
  <c r="AI5" i="1"/>
  <c r="AK4" i="1"/>
  <c r="AJ4" i="1" a="1"/>
  <c r="AJ4" i="1" s="1"/>
  <c r="AI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<sst xmlns="http://schemas.openxmlformats.org/spreadsheetml/2006/main" count="23" uniqueCount="19">
  <si>
    <t>Amaala Project Attendance Sheet Month of Feb</t>
  </si>
  <si>
    <t>Emp ID</t>
  </si>
  <si>
    <t xml:space="preserve">Employee Name </t>
  </si>
  <si>
    <t>Position</t>
  </si>
  <si>
    <t>Total OT</t>
  </si>
  <si>
    <t>Friday</t>
  </si>
  <si>
    <t xml:space="preserve">Days Present </t>
  </si>
  <si>
    <t>MD SOHEL</t>
  </si>
  <si>
    <t>Janitor</t>
  </si>
  <si>
    <t>U</t>
  </si>
  <si>
    <t>MOHAMMAD DAPHALI</t>
  </si>
  <si>
    <t>MD ISRAIL HOSEN</t>
  </si>
  <si>
    <t>SAURAV HASAN</t>
  </si>
  <si>
    <t>Helper</t>
  </si>
  <si>
    <t>HARI DEV</t>
  </si>
  <si>
    <t xml:space="preserve">SAROJ KUMAR </t>
  </si>
  <si>
    <t>Legend:  P- Present,   A- Absent,    U- Unpaid Leave,     H-Holiday,       S-Sick Leave,     L- Annual Leave</t>
  </si>
  <si>
    <t>Time Keeper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</si>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</sst>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b/>
      <sz val="14"/>
      <color theme="0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Bahnschrift SemiBold"/>
      <family val="2"/>
    </font>
    <font>
      <sz val="14"/>
      <color theme="1"/>
      <name val="Arial Narrow"/>
      <family val="2"/>
    </font>
    <font>
      <b/>
      <sz val="11"/>
      <color theme="1"/>
      <name val="Calibri Light"/>
      <family val="2"/>
      <scheme val="major"/>
    </font>
    <font>
      <sz val="11"/>
      <color theme="1"/>
      <name val="Artifakt Element Book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1"/>
    </font>
    <font>
      <b/>
      <sz val="12"/>
      <color rgb="FF000000"/>
      <name val="Calibri"/>
      <family val="2"/>
    </font>
    <font>
      <b/>
      <u/>
      <sz val="14"/>
      <color theme="1"/>
      <name val="Arial"/>
      <family val="2"/>
    </font>
    <font>
      <u/>
      <sz val="14"/>
      <color theme="1"/>
      <name val="Arial Black"/>
      <family val="2"/>
    </font>
    <font>
      <b/>
      <u/>
      <sz val="1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164" fontId="1" fillId="3" borderId="4" xfId="0" applyNumberFormat="1" applyFont="1" applyFill="1" applyBorder="1" applyAlignment="1">
      <alignment horizontal="center" textRotation="90" wrapText="1"/>
    </xf>
    <xf numFmtId="164" fontId="1" fillId="4" borderId="4" xfId="0" applyNumberFormat="1" applyFont="1" applyFill="1" applyBorder="1" applyAlignment="1">
      <alignment horizontal="center" textRotation="90" wrapText="1"/>
    </xf>
    <xf numFmtId="14" fontId="4" fillId="5" borderId="4" xfId="0" applyNumberFormat="1" applyFont="1" applyFill="1" applyBorder="1" applyAlignment="1">
      <alignment horizontal="center" textRotation="90"/>
    </xf>
    <xf numFmtId="14" fontId="4" fillId="6" borderId="5" xfId="0" applyNumberFormat="1" applyFont="1" applyFill="1" applyBorder="1" applyAlignment="1">
      <alignment horizontal="center" textRotation="90"/>
    </xf>
    <xf numFmtId="0" fontId="4" fillId="7" borderId="4" xfId="0" applyFont="1" applyFill="1" applyBorder="1" applyAlignment="1">
      <alignment horizontal="center" textRotation="90"/>
    </xf>
    <xf numFmtId="0" fontId="3" fillId="2" borderId="6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wrapText="1" shrinkToFit="1"/>
    </xf>
    <xf numFmtId="164" fontId="1" fillId="3" borderId="6" xfId="0" applyNumberFormat="1" applyFon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textRotation="90"/>
    </xf>
    <xf numFmtId="14" fontId="4" fillId="6" borderId="4" xfId="0" applyNumberFormat="1" applyFont="1" applyFill="1" applyBorder="1" applyAlignment="1">
      <alignment horizontal="center" textRotation="90"/>
    </xf>
    <xf numFmtId="0" fontId="4" fillId="7" borderId="6" xfId="0" applyFont="1" applyFill="1" applyBorder="1" applyAlignment="1">
      <alignment horizontal="center" textRotation="90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1" fillId="9" borderId="0" xfId="0" applyFont="1" applyFill="1" applyAlignment="1">
      <alignment horizontal="center"/>
    </xf>
    <xf numFmtId="0" fontId="13" fillId="10" borderId="7" xfId="1" applyFont="1" applyFill="1" applyBorder="1" applyAlignment="1">
      <alignment horizontal="center" vertical="center"/>
    </xf>
    <xf numFmtId="0" fontId="13" fillId="10" borderId="8" xfId="1" applyFont="1" applyFill="1" applyBorder="1" applyAlignment="1">
      <alignment horizontal="center" vertical="center"/>
    </xf>
    <xf numFmtId="0" fontId="13" fillId="10" borderId="9" xfId="1" applyFont="1" applyFill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vertical="center"/>
    </xf>
    <xf numFmtId="164" fontId="15" fillId="0" borderId="0" xfId="0" applyNumberFormat="1" applyFont="1" applyAlignment="1">
      <alignment vertical="center"/>
    </xf>
    <xf numFmtId="164" fontId="15" fillId="0" borderId="0" xfId="0" applyNumberFormat="1" applyFont="1"/>
    <xf numFmtId="164" fontId="0" fillId="0" borderId="0" xfId="0" applyNumberFormat="1"/>
    <xf numFmtId="164" fontId="15" fillId="0" borderId="0" xfId="0" applyNumberFormat="1" applyFont="1" applyAlignment="1">
      <alignment horizontal="center" vertical="top"/>
    </xf>
    <xf numFmtId="0" fontId="16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5472680B-234B-4E71-B764-D78FFEDDF385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theme="5"/>
        </patternFill>
      </fill>
    </dxf>
    <dxf>
      <fill>
        <patternFill>
          <bgColor rgb="FF33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161926</xdr:colOff>
      <xdr:row>0</xdr:row>
      <xdr:rowOff>43816</xdr:rowOff>
    </xdr:from>
    <xdr:to>
      <xdr:col>32</xdr:col>
      <xdr:colOff>247651</xdr:colOff>
      <xdr:row>0</xdr:row>
      <xdr:rowOff>455295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85BD7-265D-431F-95C2-19C9B87EC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2431" y="45721"/>
          <a:ext cx="1341120" cy="40957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1</xdr:col>
      <xdr:colOff>1028700</xdr:colOff>
      <xdr:row>0</xdr:row>
      <xdr:rowOff>457200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9E460E-0658-460E-8B73-27D4B402F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" y="64770"/>
          <a:ext cx="1455420" cy="392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AB3B-7839-420E-82E2-10B9898F65A0}">
  <sheetPr>
    <pageSetUpPr fitToPage="1"/>
  </sheetPr>
  <dimension ref="A1:AV26"/>
  <sheetViews>
    <sheetView tabSelected="1" zoomScaleNormal="100" workbookViewId="0">
      <selection activeCell="F19" sqref="F19"/>
    </sheetView>
  </sheetViews>
  <sheetFormatPr defaultRowHeight="14.4" x14ac:dyDescent="0.3"/>
  <cols>
    <col min="1" max="1" width="7.5546875" customWidth="1"/>
    <col min="2" max="2" width="25.21875" bestFit="1" customWidth="1"/>
    <col min="3" max="3" width="22.6640625" customWidth="1"/>
    <col min="4" max="34" width="4.5546875" customWidth="1"/>
    <col min="35" max="35" width="8" style="43" bestFit="1" customWidth="1"/>
    <col min="36" max="36" width="10.21875" style="43" bestFit="1" customWidth="1"/>
    <col min="37" max="37" width="8.6640625" customWidth="1"/>
  </cols>
  <sheetData>
    <row r="1" spans="1:48" ht="42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spans="1:48" ht="43.8" customHeight="1" x14ac:dyDescent="0.3">
      <c r="A2" s="4" t="s">
        <v>1</v>
      </c>
      <c r="B2" s="5" t="s">
        <v>2</v>
      </c>
      <c r="C2" s="4" t="s">
        <v>3</v>
      </c>
      <c r="D2" s="6">
        <v>46038</v>
      </c>
      <c r="E2" s="7">
        <v>46039</v>
      </c>
      <c r="F2" s="7">
        <v>46040</v>
      </c>
      <c r="G2" s="7">
        <v>46041</v>
      </c>
      <c r="H2" s="7">
        <v>46042</v>
      </c>
      <c r="I2" s="7">
        <v>46043</v>
      </c>
      <c r="J2" s="7">
        <v>46044</v>
      </c>
      <c r="K2" s="6">
        <v>46045</v>
      </c>
      <c r="L2" s="7">
        <v>46046</v>
      </c>
      <c r="M2" s="7">
        <v>46047</v>
      </c>
      <c r="N2" s="7">
        <v>46048</v>
      </c>
      <c r="O2" s="7">
        <v>46049</v>
      </c>
      <c r="P2" s="7">
        <v>46050</v>
      </c>
      <c r="Q2" s="7">
        <v>46051</v>
      </c>
      <c r="R2" s="6">
        <v>46052</v>
      </c>
      <c r="S2" s="7">
        <v>46053</v>
      </c>
      <c r="T2" s="7">
        <v>46054</v>
      </c>
      <c r="U2" s="7">
        <v>46055</v>
      </c>
      <c r="V2" s="7">
        <v>46056</v>
      </c>
      <c r="W2" s="7">
        <v>46057</v>
      </c>
      <c r="X2" s="6">
        <v>46058</v>
      </c>
      <c r="Y2" s="7">
        <v>46059</v>
      </c>
      <c r="Z2" s="7">
        <v>46060</v>
      </c>
      <c r="AA2" s="7">
        <v>46061</v>
      </c>
      <c r="AB2" s="7">
        <v>46062</v>
      </c>
      <c r="AC2" s="7">
        <v>46063</v>
      </c>
      <c r="AD2" s="7">
        <v>46064</v>
      </c>
      <c r="AE2" s="7">
        <v>46065</v>
      </c>
      <c r="AF2" s="6">
        <v>46066</v>
      </c>
      <c r="AG2" s="7">
        <v>46067</v>
      </c>
      <c r="AH2" s="7">
        <v>46068</v>
      </c>
      <c r="AI2" s="8" t="s">
        <v>4</v>
      </c>
      <c r="AJ2" s="9" t="s">
        <v>5</v>
      </c>
      <c r="AK2" s="10" t="s">
        <v>6</v>
      </c>
    </row>
    <row r="3" spans="1:48" ht="21.6" customHeight="1" x14ac:dyDescent="0.3">
      <c r="A3" s="11"/>
      <c r="B3" s="12"/>
      <c r="C3" s="11"/>
      <c r="D3" s="13" t="str">
        <f t="shared" ref="D3:AH3" si="0">TEXT(D2,"ddd")</f>
        <v>Fri</v>
      </c>
      <c r="E3" s="14" t="str">
        <f t="shared" si="0"/>
        <v>Sat</v>
      </c>
      <c r="F3" s="14" t="str">
        <f t="shared" si="0"/>
        <v>Sun</v>
      </c>
      <c r="G3" s="14" t="str">
        <f t="shared" si="0"/>
        <v>Mon</v>
      </c>
      <c r="H3" s="14" t="str">
        <f t="shared" si="0"/>
        <v>Tue</v>
      </c>
      <c r="I3" s="14" t="str">
        <f t="shared" si="0"/>
        <v>Wed</v>
      </c>
      <c r="J3" s="14" t="str">
        <f t="shared" si="0"/>
        <v>Thu</v>
      </c>
      <c r="K3" s="13" t="str">
        <f t="shared" si="0"/>
        <v>Fri</v>
      </c>
      <c r="L3" s="14" t="str">
        <f t="shared" si="0"/>
        <v>Sat</v>
      </c>
      <c r="M3" s="14" t="str">
        <f t="shared" si="0"/>
        <v>Sun</v>
      </c>
      <c r="N3" s="14" t="str">
        <f t="shared" si="0"/>
        <v>Mon</v>
      </c>
      <c r="O3" s="14" t="str">
        <f t="shared" si="0"/>
        <v>Tue</v>
      </c>
      <c r="P3" s="14" t="str">
        <f t="shared" si="0"/>
        <v>Wed</v>
      </c>
      <c r="Q3" s="14" t="str">
        <f t="shared" si="0"/>
        <v>Thu</v>
      </c>
      <c r="R3" s="13" t="str">
        <f t="shared" si="0"/>
        <v>Fri</v>
      </c>
      <c r="S3" s="14" t="str">
        <f t="shared" si="0"/>
        <v>Sat</v>
      </c>
      <c r="T3" s="14" t="str">
        <f t="shared" si="0"/>
        <v>Sun</v>
      </c>
      <c r="U3" s="14" t="str">
        <f t="shared" si="0"/>
        <v>Mon</v>
      </c>
      <c r="V3" s="14" t="str">
        <f t="shared" si="0"/>
        <v>Tue</v>
      </c>
      <c r="W3" s="14" t="str">
        <f t="shared" si="0"/>
        <v>Wed</v>
      </c>
      <c r="X3" s="13" t="str">
        <f t="shared" si="0"/>
        <v>Thu</v>
      </c>
      <c r="Y3" s="14" t="str">
        <f t="shared" si="0"/>
        <v>Fri</v>
      </c>
      <c r="Z3" s="14" t="str">
        <f t="shared" si="0"/>
        <v>Sat</v>
      </c>
      <c r="AA3" s="14" t="str">
        <f t="shared" si="0"/>
        <v>Sun</v>
      </c>
      <c r="AB3" s="14" t="str">
        <f t="shared" si="0"/>
        <v>Mon</v>
      </c>
      <c r="AC3" s="14" t="str">
        <f t="shared" si="0"/>
        <v>Tue</v>
      </c>
      <c r="AD3" s="14" t="str">
        <f t="shared" si="0"/>
        <v>Wed</v>
      </c>
      <c r="AE3" s="14" t="str">
        <f t="shared" si="0"/>
        <v>Thu</v>
      </c>
      <c r="AF3" s="13" t="str">
        <f t="shared" si="0"/>
        <v>Fri</v>
      </c>
      <c r="AG3" s="14" t="str">
        <f t="shared" si="0"/>
        <v>Sat</v>
      </c>
      <c r="AH3" s="14" t="str">
        <f t="shared" si="0"/>
        <v>Sun</v>
      </c>
      <c r="AI3" s="15"/>
      <c r="AJ3" s="16"/>
      <c r="AK3" s="17"/>
    </row>
    <row r="4" spans="1:48" ht="25.2" customHeight="1" x14ac:dyDescent="0.3">
      <c r="A4" s="18">
        <v>3990</v>
      </c>
      <c r="B4" s="19" t="s">
        <v>7</v>
      </c>
      <c r="C4" s="18" t="s">
        <v>8</v>
      </c>
      <c r="D4" s="20">
        <v>8</v>
      </c>
      <c r="E4" s="21">
        <v>1.5</v>
      </c>
      <c r="F4" s="21">
        <v>1.3</v>
      </c>
      <c r="G4" s="21">
        <v>2</v>
      </c>
      <c r="H4" s="21">
        <v>1.45</v>
      </c>
      <c r="I4" s="21">
        <v>2</v>
      </c>
      <c r="J4" s="21">
        <v>2</v>
      </c>
      <c r="K4" s="20"/>
      <c r="L4" s="21">
        <v>2</v>
      </c>
      <c r="M4" s="21">
        <v>2</v>
      </c>
      <c r="N4" s="21">
        <v>2</v>
      </c>
      <c r="O4" s="21">
        <v>2</v>
      </c>
      <c r="P4" s="21">
        <v>2</v>
      </c>
      <c r="Q4" s="21">
        <v>2</v>
      </c>
      <c r="R4" s="20"/>
      <c r="S4" s="21">
        <v>1.5</v>
      </c>
      <c r="T4" s="21">
        <v>1.5</v>
      </c>
      <c r="U4" s="21">
        <v>2</v>
      </c>
      <c r="V4" s="21">
        <v>2</v>
      </c>
      <c r="W4" s="21">
        <v>1.5</v>
      </c>
      <c r="X4" s="22" t="s">
        <v>9</v>
      </c>
      <c r="Y4" s="20">
        <v>4</v>
      </c>
      <c r="Z4" s="21">
        <v>1</v>
      </c>
      <c r="AA4" s="21">
        <v>1.4</v>
      </c>
      <c r="AB4" s="21">
        <v>2</v>
      </c>
      <c r="AC4" s="21">
        <v>2</v>
      </c>
      <c r="AD4" s="21">
        <v>1.45</v>
      </c>
      <c r="AE4" s="21">
        <v>2</v>
      </c>
      <c r="AF4" s="20">
        <v>8</v>
      </c>
      <c r="AG4" s="21">
        <v>1.48</v>
      </c>
      <c r="AH4" s="21">
        <v>2</v>
      </c>
      <c r="AI4" s="21">
        <f>SUMIFS(D4:AH4, D4:AH4, "&lt;&gt;8", D4:AH4, "&lt;&gt;4")</f>
        <v>44.08</v>
      </c>
      <c r="AJ4" s="21" cm="1">
        <f t="array" ref="AJ4">SUM(SUMIF(D4:AH4,{4,8}))</f>
        <v>20</v>
      </c>
      <c r="AK4" s="23">
        <f>COUNTIFS(D4:AH4,"&lt;8", D4:AH4,"&lt;&gt;4")</f>
        <v>25</v>
      </c>
    </row>
    <row r="5" spans="1:48" ht="25.2" customHeight="1" x14ac:dyDescent="0.3">
      <c r="A5" s="18">
        <v>4217</v>
      </c>
      <c r="B5" s="19" t="s">
        <v>10</v>
      </c>
      <c r="C5" s="18" t="s">
        <v>8</v>
      </c>
      <c r="D5" s="20">
        <v>8</v>
      </c>
      <c r="E5" s="21">
        <v>1.5</v>
      </c>
      <c r="F5" s="21">
        <v>1.3</v>
      </c>
      <c r="G5" s="21">
        <v>2</v>
      </c>
      <c r="H5" s="21">
        <v>1.45</v>
      </c>
      <c r="I5" s="21">
        <v>2</v>
      </c>
      <c r="J5" s="21">
        <v>2</v>
      </c>
      <c r="K5" s="20"/>
      <c r="L5" s="21">
        <v>2</v>
      </c>
      <c r="M5" s="21">
        <v>2</v>
      </c>
      <c r="N5" s="21">
        <v>1.5</v>
      </c>
      <c r="O5" s="21">
        <v>2</v>
      </c>
      <c r="P5" s="21">
        <v>2</v>
      </c>
      <c r="Q5" s="21">
        <v>2</v>
      </c>
      <c r="R5" s="20"/>
      <c r="S5" s="21">
        <v>1.5</v>
      </c>
      <c r="T5" s="21">
        <v>2</v>
      </c>
      <c r="U5" s="21">
        <v>2</v>
      </c>
      <c r="V5" s="21">
        <v>2</v>
      </c>
      <c r="W5" s="21">
        <v>1.5</v>
      </c>
      <c r="X5" s="21">
        <v>2</v>
      </c>
      <c r="Y5" s="20">
        <v>4</v>
      </c>
      <c r="Z5" s="21">
        <v>2</v>
      </c>
      <c r="AA5" s="21">
        <v>1.4</v>
      </c>
      <c r="AB5" s="21">
        <v>2</v>
      </c>
      <c r="AC5" s="21">
        <v>2</v>
      </c>
      <c r="AD5" s="21">
        <v>1.3</v>
      </c>
      <c r="AE5" s="21">
        <v>2</v>
      </c>
      <c r="AF5" s="20">
        <v>8</v>
      </c>
      <c r="AG5" s="21">
        <v>1.5</v>
      </c>
      <c r="AH5" s="21">
        <v>2</v>
      </c>
      <c r="AI5" s="21">
        <f t="shared" ref="AI5:AI9" si="1">SUMIFS(D5:AH5, D5:AH5, "&lt;&gt;8", D5:AH5, "&lt;&gt;4")</f>
        <v>46.949999999999996</v>
      </c>
      <c r="AJ5" s="21" cm="1">
        <f t="array" ref="AJ5">SUM(SUMIF(D5:AH5,{4,8}))</f>
        <v>20</v>
      </c>
      <c r="AK5" s="23">
        <f t="shared" ref="AK5:AK9" si="2">COUNTIFS(D5:AH5,"&lt;8", D5:AH5,"&lt;&gt;4")</f>
        <v>26</v>
      </c>
    </row>
    <row r="6" spans="1:48" ht="25.2" customHeight="1" x14ac:dyDescent="0.3">
      <c r="A6" s="18">
        <v>3857</v>
      </c>
      <c r="B6" s="19" t="s">
        <v>11</v>
      </c>
      <c r="C6" s="18" t="s">
        <v>8</v>
      </c>
      <c r="D6" s="20"/>
      <c r="E6" s="21">
        <v>1.5</v>
      </c>
      <c r="F6" s="21">
        <v>1.3</v>
      </c>
      <c r="G6" s="21">
        <v>2</v>
      </c>
      <c r="H6" s="21">
        <v>1.45</v>
      </c>
      <c r="I6" s="21">
        <v>2</v>
      </c>
      <c r="J6" s="21">
        <v>2</v>
      </c>
      <c r="K6" s="20">
        <v>8</v>
      </c>
      <c r="L6" s="21">
        <v>2</v>
      </c>
      <c r="M6" s="21">
        <v>2</v>
      </c>
      <c r="N6" s="21">
        <v>1.5</v>
      </c>
      <c r="O6" s="21">
        <v>2</v>
      </c>
      <c r="P6" s="21">
        <v>2</v>
      </c>
      <c r="Q6" s="21">
        <v>2</v>
      </c>
      <c r="R6" s="20">
        <v>8</v>
      </c>
      <c r="S6" s="21">
        <v>1.5</v>
      </c>
      <c r="T6" s="21">
        <v>2</v>
      </c>
      <c r="U6" s="21">
        <v>2</v>
      </c>
      <c r="V6" s="21">
        <v>2</v>
      </c>
      <c r="W6" s="21">
        <v>1.5</v>
      </c>
      <c r="X6" s="21">
        <v>2</v>
      </c>
      <c r="Y6" s="20">
        <v>4</v>
      </c>
      <c r="Z6" s="21">
        <v>2</v>
      </c>
      <c r="AA6" s="21">
        <v>1.4</v>
      </c>
      <c r="AB6" s="21">
        <v>2</v>
      </c>
      <c r="AC6" s="21">
        <v>2</v>
      </c>
      <c r="AD6" s="21">
        <v>2</v>
      </c>
      <c r="AE6" s="21">
        <v>2</v>
      </c>
      <c r="AF6" s="20"/>
      <c r="AG6" s="21">
        <v>2</v>
      </c>
      <c r="AH6" s="21">
        <v>2</v>
      </c>
      <c r="AI6" s="21">
        <f t="shared" si="1"/>
        <v>48.15</v>
      </c>
      <c r="AJ6" s="21" cm="1">
        <f t="array" ref="AJ6">SUM(SUMIF(D6:AH6,{4,8}))</f>
        <v>20</v>
      </c>
      <c r="AK6" s="23">
        <f t="shared" si="2"/>
        <v>26</v>
      </c>
    </row>
    <row r="7" spans="1:48" ht="25.2" customHeight="1" x14ac:dyDescent="0.3">
      <c r="A7" s="18">
        <v>4092</v>
      </c>
      <c r="B7" s="19" t="s">
        <v>12</v>
      </c>
      <c r="C7" s="18" t="s">
        <v>13</v>
      </c>
      <c r="D7" s="20"/>
      <c r="E7" s="21">
        <v>1.5</v>
      </c>
      <c r="F7" s="21">
        <v>1.3</v>
      </c>
      <c r="G7" s="21">
        <v>2</v>
      </c>
      <c r="H7" s="21">
        <v>1.45</v>
      </c>
      <c r="I7" s="21">
        <v>2</v>
      </c>
      <c r="J7" s="21">
        <v>2</v>
      </c>
      <c r="K7" s="20">
        <v>8</v>
      </c>
      <c r="L7" s="21">
        <v>2</v>
      </c>
      <c r="M7" s="21">
        <v>2</v>
      </c>
      <c r="N7" s="21">
        <v>1.5</v>
      </c>
      <c r="O7" s="21">
        <v>2</v>
      </c>
      <c r="P7" s="21">
        <v>2</v>
      </c>
      <c r="Q7" s="21">
        <v>2</v>
      </c>
      <c r="R7" s="20">
        <v>8</v>
      </c>
      <c r="S7" s="21">
        <v>1.5</v>
      </c>
      <c r="T7" s="21">
        <v>2</v>
      </c>
      <c r="U7" s="21">
        <v>2</v>
      </c>
      <c r="V7" s="21">
        <v>2</v>
      </c>
      <c r="W7" s="21">
        <v>1.5</v>
      </c>
      <c r="X7" s="21">
        <v>2</v>
      </c>
      <c r="Y7" s="20"/>
      <c r="Z7" s="21">
        <v>2</v>
      </c>
      <c r="AA7" s="21">
        <v>1.4</v>
      </c>
      <c r="AB7" s="21">
        <v>2</v>
      </c>
      <c r="AC7" s="21">
        <v>2</v>
      </c>
      <c r="AD7" s="21">
        <v>1.5</v>
      </c>
      <c r="AE7" s="21">
        <v>2</v>
      </c>
      <c r="AF7" s="20">
        <v>4</v>
      </c>
      <c r="AG7" s="21">
        <v>2</v>
      </c>
      <c r="AH7" s="21">
        <v>2</v>
      </c>
      <c r="AI7" s="21">
        <f t="shared" si="1"/>
        <v>47.65</v>
      </c>
      <c r="AJ7" s="21" cm="1">
        <f t="array" ref="AJ7">SUM(SUMIF(D7:AH7,{4,8}))</f>
        <v>20</v>
      </c>
      <c r="AK7" s="23">
        <f t="shared" si="2"/>
        <v>26</v>
      </c>
    </row>
    <row r="8" spans="1:48" ht="25.2" customHeight="1" x14ac:dyDescent="0.3">
      <c r="A8" s="18">
        <v>2952</v>
      </c>
      <c r="B8" s="19" t="s">
        <v>14</v>
      </c>
      <c r="C8" s="18" t="s">
        <v>13</v>
      </c>
      <c r="D8" s="20">
        <v>8</v>
      </c>
      <c r="E8" s="21">
        <v>1.48</v>
      </c>
      <c r="F8" s="21">
        <v>1.3</v>
      </c>
      <c r="G8" s="21">
        <v>2</v>
      </c>
      <c r="H8" s="21">
        <v>2</v>
      </c>
      <c r="I8" s="21">
        <v>2</v>
      </c>
      <c r="J8" s="21">
        <v>2</v>
      </c>
      <c r="K8" s="20">
        <v>8</v>
      </c>
      <c r="L8" s="21">
        <v>2</v>
      </c>
      <c r="M8" s="21">
        <v>2</v>
      </c>
      <c r="N8" s="21">
        <v>2</v>
      </c>
      <c r="O8" s="21">
        <v>2</v>
      </c>
      <c r="P8" s="21">
        <v>2</v>
      </c>
      <c r="Q8" s="21">
        <v>2</v>
      </c>
      <c r="R8" s="20">
        <v>8</v>
      </c>
      <c r="S8" s="21">
        <v>1.5</v>
      </c>
      <c r="T8" s="21">
        <v>2</v>
      </c>
      <c r="U8" s="21">
        <v>2</v>
      </c>
      <c r="V8" s="21">
        <v>2</v>
      </c>
      <c r="W8" s="21">
        <v>1.5</v>
      </c>
      <c r="X8" s="21">
        <v>2</v>
      </c>
      <c r="Y8" s="20">
        <v>8</v>
      </c>
      <c r="Z8" s="21">
        <v>2</v>
      </c>
      <c r="AA8" s="21">
        <v>1.4</v>
      </c>
      <c r="AB8" s="21">
        <v>2</v>
      </c>
      <c r="AC8" s="21">
        <v>2</v>
      </c>
      <c r="AD8" s="21">
        <v>2</v>
      </c>
      <c r="AE8" s="21">
        <v>2</v>
      </c>
      <c r="AF8" s="20"/>
      <c r="AG8" s="21">
        <v>2</v>
      </c>
      <c r="AH8" s="21">
        <v>2</v>
      </c>
      <c r="AI8" s="21">
        <f t="shared" si="1"/>
        <v>49.18</v>
      </c>
      <c r="AJ8" s="21" cm="1">
        <f t="array" ref="AJ8">SUM(SUMIF(D8:AH8,{4,8}))</f>
        <v>32</v>
      </c>
      <c r="AK8" s="23">
        <f t="shared" si="2"/>
        <v>26</v>
      </c>
    </row>
    <row r="9" spans="1:48" ht="25.2" customHeight="1" x14ac:dyDescent="0.3">
      <c r="A9" s="18">
        <v>2175</v>
      </c>
      <c r="B9" s="19" t="s">
        <v>15</v>
      </c>
      <c r="C9" s="18" t="s">
        <v>13</v>
      </c>
      <c r="D9" s="20"/>
      <c r="E9" s="21">
        <v>1.48</v>
      </c>
      <c r="F9" s="21">
        <v>2</v>
      </c>
      <c r="G9" s="21">
        <v>2</v>
      </c>
      <c r="H9" s="21">
        <v>1.45</v>
      </c>
      <c r="I9" s="21">
        <v>2</v>
      </c>
      <c r="J9" s="21">
        <v>2</v>
      </c>
      <c r="K9" s="20"/>
      <c r="L9" s="21">
        <v>2</v>
      </c>
      <c r="M9" s="21">
        <v>2</v>
      </c>
      <c r="N9" s="21">
        <v>2</v>
      </c>
      <c r="O9" s="21">
        <v>2</v>
      </c>
      <c r="P9" s="21">
        <v>2</v>
      </c>
      <c r="Q9" s="21">
        <v>2</v>
      </c>
      <c r="R9" s="20">
        <v>8</v>
      </c>
      <c r="S9" s="21">
        <v>1.5</v>
      </c>
      <c r="T9" s="21">
        <v>2</v>
      </c>
      <c r="U9" s="21">
        <v>2</v>
      </c>
      <c r="V9" s="21">
        <v>2</v>
      </c>
      <c r="W9" s="21">
        <v>1.5</v>
      </c>
      <c r="X9" s="21">
        <v>2</v>
      </c>
      <c r="Y9" s="20">
        <v>8</v>
      </c>
      <c r="Z9" s="21">
        <v>2</v>
      </c>
      <c r="AA9" s="21">
        <v>1.4</v>
      </c>
      <c r="AB9" s="21">
        <v>2</v>
      </c>
      <c r="AC9" s="21">
        <v>2</v>
      </c>
      <c r="AD9" s="21">
        <v>2</v>
      </c>
      <c r="AE9" s="21">
        <v>2</v>
      </c>
      <c r="AF9" s="20">
        <v>8</v>
      </c>
      <c r="AG9" s="21">
        <v>2</v>
      </c>
      <c r="AH9" s="21">
        <v>2</v>
      </c>
      <c r="AI9" s="21">
        <f t="shared" si="1"/>
        <v>49.33</v>
      </c>
      <c r="AJ9" s="21" cm="1">
        <f t="array" ref="AJ9">SUM(SUMIF(D9:AH9,{4,8}))</f>
        <v>24</v>
      </c>
      <c r="AK9" s="23">
        <f t="shared" si="2"/>
        <v>26</v>
      </c>
    </row>
    <row r="10" spans="1:48" ht="25.2" customHeight="1" x14ac:dyDescent="0.3">
      <c r="A10" s="24"/>
      <c r="B10" s="25"/>
      <c r="C10" s="24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</row>
    <row r="11" spans="1:48" ht="19.2" customHeight="1" x14ac:dyDescent="0.3">
      <c r="A11" s="27"/>
      <c r="B11" s="28"/>
      <c r="C11" s="28"/>
      <c r="D11" s="29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1"/>
      <c r="AJ11" s="31"/>
      <c r="AK11" s="32"/>
    </row>
    <row r="12" spans="1:48" ht="19.2" customHeight="1" x14ac:dyDescent="0.3">
      <c r="F12" s="33" t="s">
        <v>16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5"/>
    </row>
    <row r="13" spans="1:48" ht="19.2" customHeight="1" x14ac:dyDescent="0.3">
      <c r="AI13"/>
      <c r="AJ13"/>
    </row>
    <row r="14" spans="1:48" ht="14.4" customHeight="1" x14ac:dyDescent="0.5">
      <c r="C14" s="36"/>
      <c r="J14" s="37"/>
      <c r="K14" s="37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I14" s="39"/>
      <c r="AJ14" s="39"/>
      <c r="AK14" s="39"/>
      <c r="AL14" s="39"/>
      <c r="AM14" s="39"/>
      <c r="AN14" s="39"/>
      <c r="AO14" s="39"/>
      <c r="AP14" s="39"/>
      <c r="AQ14" s="40"/>
      <c r="AR14" s="40"/>
      <c r="AS14" s="40"/>
      <c r="AT14" s="40"/>
      <c r="AU14" s="40"/>
      <c r="AV14" s="40"/>
    </row>
    <row r="15" spans="1:48" ht="14.4" customHeight="1" x14ac:dyDescent="0.3">
      <c r="D15" s="37"/>
      <c r="E15" s="37"/>
      <c r="F15" s="38"/>
      <c r="G15" s="41" t="s">
        <v>17</v>
      </c>
      <c r="H15" s="41"/>
      <c r="I15" s="41"/>
      <c r="J15" s="41"/>
      <c r="K15" s="41"/>
      <c r="L15" s="41"/>
      <c r="M15" s="41"/>
      <c r="N15" s="38"/>
      <c r="O15" s="38"/>
      <c r="P15" s="38"/>
      <c r="Q15" s="38"/>
      <c r="R15" s="38"/>
      <c r="AC15" s="41" t="s">
        <v>18</v>
      </c>
      <c r="AD15" s="41"/>
      <c r="AE15" s="41"/>
      <c r="AF15" s="41"/>
      <c r="AG15" s="41"/>
      <c r="AH15" s="41"/>
      <c r="AI15" s="40"/>
      <c r="AJ15" s="40"/>
      <c r="AK15" s="40"/>
      <c r="AL15" s="40"/>
      <c r="AM15" s="40"/>
      <c r="AN15" s="40"/>
      <c r="AO15" s="40"/>
    </row>
    <row r="16" spans="1:48" ht="14.4" customHeight="1" x14ac:dyDescent="0.3">
      <c r="D16" s="37"/>
      <c r="E16" s="37"/>
      <c r="F16" s="38"/>
      <c r="G16" s="41"/>
      <c r="H16" s="41"/>
      <c r="I16" s="41"/>
      <c r="J16" s="41"/>
      <c r="K16" s="41"/>
      <c r="L16" s="41"/>
      <c r="M16" s="41"/>
      <c r="N16" s="38"/>
      <c r="O16" s="38"/>
      <c r="P16" s="38"/>
      <c r="Q16" s="38"/>
      <c r="R16" s="38"/>
      <c r="AC16" s="41"/>
      <c r="AD16" s="41"/>
      <c r="AE16" s="41"/>
      <c r="AF16" s="41"/>
      <c r="AG16" s="41"/>
      <c r="AH16" s="41"/>
      <c r="AI16" s="40"/>
      <c r="AJ16" s="40"/>
      <c r="AK16" s="40"/>
      <c r="AL16" s="40"/>
      <c r="AM16" s="40"/>
      <c r="AN16" s="40"/>
      <c r="AO16" s="40"/>
    </row>
    <row r="17" spans="2:48" ht="14.4" customHeight="1" x14ac:dyDescent="0.3">
      <c r="D17" s="37"/>
      <c r="E17" s="37"/>
      <c r="F17" s="38"/>
      <c r="G17" s="41"/>
      <c r="H17" s="41"/>
      <c r="I17" s="41"/>
      <c r="J17" s="41"/>
      <c r="K17" s="41"/>
      <c r="L17" s="41"/>
      <c r="M17" s="41"/>
      <c r="N17" s="38"/>
      <c r="O17" s="38"/>
      <c r="P17" s="38"/>
      <c r="Q17" s="38"/>
      <c r="R17" s="38"/>
      <c r="AC17" s="41"/>
      <c r="AD17" s="41"/>
      <c r="AE17" s="41"/>
      <c r="AF17" s="41"/>
      <c r="AG17" s="41"/>
      <c r="AH17" s="41"/>
      <c r="AI17" s="40"/>
      <c r="AJ17" s="40"/>
      <c r="AK17" s="40"/>
      <c r="AL17" s="40"/>
      <c r="AM17" s="40"/>
      <c r="AN17" s="40"/>
      <c r="AO17" s="40"/>
    </row>
    <row r="18" spans="2:48" ht="14.4" customHeight="1" x14ac:dyDescent="0.5">
      <c r="G18" s="41"/>
      <c r="H18" s="41"/>
      <c r="I18" s="41"/>
      <c r="J18" s="41"/>
      <c r="K18" s="41"/>
      <c r="L18" s="41"/>
      <c r="M18" s="41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AC18" s="41"/>
      <c r="AD18" s="41"/>
      <c r="AE18" s="41"/>
      <c r="AF18" s="41"/>
      <c r="AG18" s="41"/>
      <c r="AH18" s="41"/>
      <c r="AI18" s="39"/>
      <c r="AJ18" s="39"/>
      <c r="AK18" s="39"/>
      <c r="AL18" s="39"/>
      <c r="AM18" s="39"/>
      <c r="AN18" s="39"/>
      <c r="AO18" s="39"/>
      <c r="AP18" s="39"/>
      <c r="AQ18" s="40"/>
      <c r="AR18" s="40"/>
      <c r="AS18" s="40"/>
      <c r="AT18" s="40"/>
      <c r="AU18" s="40"/>
      <c r="AV18" s="40"/>
    </row>
    <row r="19" spans="2:48" ht="19.2" customHeight="1" x14ac:dyDescent="0.4">
      <c r="B19" s="42"/>
      <c r="C19" s="42"/>
      <c r="D19" s="42"/>
      <c r="G19" s="41"/>
      <c r="H19" s="41"/>
      <c r="I19" s="41"/>
      <c r="J19" s="41"/>
      <c r="K19" s="41"/>
      <c r="L19" s="41"/>
      <c r="M19" s="41"/>
      <c r="X19" s="38"/>
      <c r="Y19" s="38"/>
      <c r="AC19" s="41"/>
      <c r="AD19" s="41"/>
      <c r="AE19" s="41"/>
      <c r="AF19" s="41"/>
      <c r="AG19" s="41"/>
      <c r="AH19" s="41"/>
      <c r="AI19"/>
      <c r="AJ19"/>
      <c r="AL19" s="40"/>
      <c r="AM19" s="40"/>
      <c r="AN19" s="40"/>
      <c r="AO19" s="40"/>
      <c r="AP19" s="40"/>
    </row>
    <row r="20" spans="2:48" ht="19.2" customHeight="1" x14ac:dyDescent="0.3"/>
    <row r="21" spans="2:48" ht="19.2" customHeight="1" x14ac:dyDescent="0.3"/>
    <row r="22" spans="2:48" ht="19.2" customHeight="1" x14ac:dyDescent="0.3"/>
    <row r="23" spans="2:48" ht="19.2" customHeight="1" x14ac:dyDescent="0.3"/>
    <row r="24" spans="2:48" ht="19.2" customHeight="1" x14ac:dyDescent="0.3"/>
    <row r="25" spans="2:48" ht="19.2" customHeight="1" x14ac:dyDescent="0.3"/>
    <row r="26" spans="2:48" ht="19.2" customHeight="1" x14ac:dyDescent="0.3"/>
  </sheetData>
  <mergeCells count="10">
    <mergeCell ref="F12:AK12"/>
    <mergeCell ref="G15:M19"/>
    <mergeCell ref="AC15:AH19"/>
    <mergeCell ref="A1:AK1"/>
    <mergeCell ref="A2:A3"/>
    <mergeCell ref="B2:B3"/>
    <mergeCell ref="C2:C3"/>
    <mergeCell ref="AI2:AI3"/>
    <mergeCell ref="AJ2:AJ3"/>
    <mergeCell ref="AK2:AK3"/>
  </mergeCells>
  <conditionalFormatting sqref="D11:AH11 D10:AK10">
    <cfRule type="containsText" dxfId="11" priority="4" operator="containsText" text="U">
      <formula>NOT(ISERROR(SEARCH("U",D10)))</formula>
    </cfRule>
    <cfRule type="containsText" dxfId="10" priority="5" operator="containsText" text="F">
      <formula>NOT(ISERROR(SEARCH("F",D10)))</formula>
    </cfRule>
    <cfRule type="containsText" dxfId="9" priority="6" operator="containsText" text="H">
      <formula>NOT(ISERROR(SEARCH("H",D10)))</formula>
    </cfRule>
    <cfRule type="containsText" dxfId="8" priority="7" operator="containsText" text="L">
      <formula>NOT(ISERROR(SEARCH("L",D10)))</formula>
    </cfRule>
    <cfRule type="containsText" dxfId="7" priority="8" operator="containsText" text="S">
      <formula>NOT(ISERROR(SEARCH("S",D10)))</formula>
    </cfRule>
    <cfRule type="containsText" dxfId="6" priority="9" operator="containsText" text="P">
      <formula>NOT(ISERROR(SEARCH("P",D10)))</formula>
    </cfRule>
    <cfRule type="containsText" dxfId="5" priority="10" operator="containsText" text="A">
      <formula>NOT(ISERROR(SEARCH("A",D10)))</formula>
    </cfRule>
  </conditionalFormatting>
  <conditionalFormatting sqref="A19:A1048576 A1:A3 A11:A13">
    <cfRule type="duplicateValues" dxfId="4" priority="11"/>
  </conditionalFormatting>
  <conditionalFormatting sqref="A8">
    <cfRule type="duplicateValues" dxfId="3" priority="3"/>
  </conditionalFormatting>
  <conditionalFormatting sqref="A9">
    <cfRule type="duplicateValues" dxfId="2" priority="2"/>
  </conditionalFormatting>
  <conditionalFormatting sqref="A10">
    <cfRule type="duplicateValues" dxfId="1" priority="1"/>
  </conditionalFormatting>
  <conditionalFormatting sqref="A4:A7">
    <cfRule type="duplicateValues" dxfId="0" priority="12"/>
  </conditionalFormatting>
  <pageMargins left="0.26033333333333297" right="0.26624999999999999" top="1.1655833333333301" bottom="0.75" header="0.3" footer="0.3"/>
  <pageSetup paperSize="9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Camp</vt:lpstr>
      <vt:lpstr>Camp!Print_Area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2026-02-23T07:58:40Z</dcterms:created>
  <dcterms:modified xsi:type="dcterms:W3CDTF">2026-02-23T07:58:50Z</dcterms:modified>
</cp:coreProperties>
</file>